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8.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9.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10.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11.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BuÇalışmaKitabı"/>
  <mc:AlternateContent xmlns:mc="http://schemas.openxmlformats.org/markup-compatibility/2006">
    <mc:Choice Requires="x15">
      <x15ac:absPath xmlns:x15ac="http://schemas.microsoft.com/office/spreadsheetml/2010/11/ac" url="D:\Projects\Fabrika360Suite\ElEmegi360Mobil\plan\"/>
    </mc:Choice>
  </mc:AlternateContent>
  <xr:revisionPtr revIDLastSave="0" documentId="13_ncr:1_{C04A62F4-A4E9-4A11-A3E0-5E6FE597F05C}" xr6:coauthVersionLast="47" xr6:coauthVersionMax="47" xr10:uidLastSave="{00000000-0000-0000-0000-000000000000}"/>
  <bookViews>
    <workbookView xWindow="-108" yWindow="-108" windowWidth="23256" windowHeight="12456" tabRatio="977" activeTab="2" xr2:uid="{00000000-000D-0000-FFFF-FFFF00000000}"/>
  </bookViews>
  <sheets>
    <sheet name="Personel" sheetId="109" r:id="rId1"/>
    <sheet name="Cins" sheetId="110" r:id="rId2"/>
    <sheet name="İşçilikler" sheetId="114" r:id="rId3"/>
    <sheet name="Ölçüler" sheetId="112" r:id="rId4"/>
    <sheet name="Fiyat" sheetId="111" r:id="rId5"/>
    <sheet name="Standart Ölçüler" sheetId="113" r:id="rId6"/>
    <sheet name="Sacak" sheetId="83" r:id="rId7"/>
    <sheet name="Etiket" sheetId="85" r:id="rId8"/>
    <sheet name="El Overlogu" sheetId="94" r:id="rId9"/>
    <sheet name="Küçük Etiket" sheetId="107" r:id="rId10"/>
    <sheet name="Kartela" sheetId="96" r:id="rId11"/>
  </sheets>
  <definedNames>
    <definedName name="Dilimleyici_Adı_Soyadı">#N/A</definedName>
    <definedName name="Dilimleyici_Adı_Soyadı1">#N/A</definedName>
    <definedName name="Dilimleyici_Adı_Soyadı2">#N/A</definedName>
    <definedName name="Dilimleyici_Adı_Soyadı21">#N/A</definedName>
    <definedName name="Dilimleyici_Adı_Soyadı3">#N/A</definedName>
    <definedName name="İsimler" localSheetId="8">#REF!</definedName>
    <definedName name="İsimler" localSheetId="10">#REF!</definedName>
    <definedName name="İsimler" localSheetId="9">#REF!</definedName>
    <definedName name="İsimler">#REF!</definedName>
    <definedName name="Tablo1" localSheetId="8">ElOverlogu[]</definedName>
    <definedName name="Tablo1" localSheetId="10">ElOverlogu11[]</definedName>
    <definedName name="Tablo1" localSheetId="9">Sacak13[]</definedName>
    <definedName name="Tablo1">Sacak[]</definedName>
    <definedName name="_xlnm.Print_Area" localSheetId="8">'El Overlogu'!$C$2:$J$95</definedName>
    <definedName name="_xlnm.Print_Area" localSheetId="7">Etiket!$C$2:$K$114</definedName>
    <definedName name="_xlnm.Print_Area" localSheetId="10">Kartela!$C$2:$J$95</definedName>
    <definedName name="_xlnm.Print_Area" localSheetId="9">'Küçük Etiket'!$C$2:$J$109</definedName>
    <definedName name="_xlnm.Print_Area" localSheetId="6">Sacak!$C$2:$J$109</definedName>
    <definedName name="_xlnm.Print_Titles" localSheetId="8">'El Overlogu'!$2:$2</definedName>
    <definedName name="_xlnm.Print_Titles" localSheetId="7">Etiket!$2:$2</definedName>
    <definedName name="_xlnm.Print_Titles" localSheetId="10">Kartela!$2:$2</definedName>
    <definedName name="_xlnm.Print_Titles" localSheetId="9">'Küçük Etiket'!$2:$2</definedName>
    <definedName name="_xlnm.Print_Titles" localSheetId="6">Sacak!$2:$2</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4:slicerCache r:id="rId1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96" l="1"/>
  <c r="H5" i="96"/>
  <c r="H6" i="96"/>
  <c r="H7" i="96"/>
  <c r="H8" i="96"/>
  <c r="H9" i="96"/>
  <c r="H10" i="96"/>
  <c r="H11" i="96"/>
  <c r="H12" i="96"/>
  <c r="H13" i="96"/>
  <c r="H14" i="96"/>
  <c r="H15" i="96"/>
  <c r="H16" i="96"/>
  <c r="H17" i="96"/>
  <c r="H18" i="96"/>
  <c r="H19" i="96"/>
  <c r="H20" i="96"/>
  <c r="H21" i="96"/>
  <c r="H22" i="96"/>
  <c r="H23" i="96"/>
  <c r="H24" i="96"/>
  <c r="H25" i="96"/>
  <c r="H26" i="96"/>
  <c r="H27" i="96"/>
  <c r="H28" i="96"/>
  <c r="H29" i="96"/>
  <c r="H30" i="96"/>
  <c r="H31" i="96"/>
  <c r="H32" i="96"/>
  <c r="H33" i="96"/>
  <c r="H34" i="96"/>
  <c r="H35" i="96"/>
  <c r="H36" i="96"/>
  <c r="H37" i="96"/>
  <c r="H38" i="96"/>
  <c r="H39" i="96"/>
  <c r="H40" i="96"/>
  <c r="H41" i="96"/>
  <c r="H42" i="96"/>
  <c r="H43" i="96"/>
  <c r="H44" i="96"/>
  <c r="H45" i="96"/>
  <c r="H46" i="96"/>
  <c r="H47" i="96"/>
  <c r="H48" i="96"/>
  <c r="H49" i="96"/>
  <c r="H50" i="96"/>
  <c r="H51" i="96"/>
  <c r="H52" i="96"/>
  <c r="H53" i="96"/>
  <c r="H54" i="96"/>
  <c r="H55" i="96"/>
  <c r="H56" i="96"/>
  <c r="H57" i="96"/>
  <c r="H58" i="96"/>
  <c r="H59" i="96"/>
  <c r="H60" i="96"/>
  <c r="H61" i="96"/>
  <c r="H62" i="96"/>
  <c r="H63" i="96"/>
  <c r="H64" i="96"/>
  <c r="H65" i="96"/>
  <c r="H66" i="96"/>
  <c r="H67" i="96"/>
  <c r="H68" i="96"/>
  <c r="H69" i="96"/>
  <c r="H70" i="96"/>
  <c r="H71" i="96"/>
  <c r="H72" i="96"/>
  <c r="H73" i="96"/>
  <c r="H74" i="96"/>
  <c r="H75" i="96"/>
  <c r="H76" i="96"/>
  <c r="H77" i="96"/>
  <c r="H78" i="96"/>
  <c r="H79" i="96"/>
  <c r="H80" i="96"/>
  <c r="H81" i="96"/>
  <c r="H82" i="96"/>
  <c r="H83" i="96"/>
  <c r="H84" i="96"/>
  <c r="H85" i="96"/>
  <c r="H86" i="96"/>
  <c r="H87" i="96"/>
  <c r="H88" i="96"/>
  <c r="H89" i="96"/>
  <c r="H90" i="96"/>
  <c r="H91" i="96"/>
  <c r="H92" i="96"/>
  <c r="H93" i="96"/>
  <c r="H94" i="96"/>
  <c r="H95" i="96"/>
  <c r="H96" i="96"/>
  <c r="H97" i="96"/>
  <c r="H3" i="96"/>
  <c r="H3" i="107"/>
  <c r="H4" i="107"/>
  <c r="H5" i="107"/>
  <c r="H6" i="107"/>
  <c r="H7" i="107"/>
  <c r="H8" i="107"/>
  <c r="H9" i="107"/>
  <c r="H10" i="107"/>
  <c r="H11" i="107"/>
  <c r="H12" i="107"/>
  <c r="H13" i="107"/>
  <c r="H14" i="107"/>
  <c r="H15" i="107"/>
  <c r="H16" i="107"/>
  <c r="H17" i="107"/>
  <c r="H18" i="107"/>
  <c r="H19" i="107"/>
  <c r="H20" i="107"/>
  <c r="H21" i="107"/>
  <c r="H22" i="107"/>
  <c r="H23" i="107"/>
  <c r="H24" i="107"/>
  <c r="H25" i="107"/>
  <c r="H26" i="107"/>
  <c r="H27" i="107"/>
  <c r="H28" i="107"/>
  <c r="H29" i="107"/>
  <c r="H30" i="107"/>
  <c r="H31" i="107"/>
  <c r="H32" i="107"/>
  <c r="H33" i="107"/>
  <c r="H34" i="107"/>
  <c r="H35" i="107"/>
  <c r="H36" i="107"/>
  <c r="H37" i="107"/>
  <c r="H38" i="107"/>
  <c r="H39" i="107"/>
  <c r="H40" i="107"/>
  <c r="H41" i="107"/>
  <c r="H42" i="107"/>
  <c r="H43" i="107"/>
  <c r="H44" i="107"/>
  <c r="H45" i="107"/>
  <c r="H46" i="107"/>
  <c r="H47" i="107"/>
  <c r="H48" i="107"/>
  <c r="H49" i="107"/>
  <c r="H50" i="107"/>
  <c r="H51" i="107"/>
  <c r="H52" i="107"/>
  <c r="H53" i="107"/>
  <c r="H54" i="107"/>
  <c r="H55" i="107"/>
  <c r="H56" i="107"/>
  <c r="H57" i="107"/>
  <c r="H58" i="107"/>
  <c r="H59" i="107"/>
  <c r="H60" i="107"/>
  <c r="H61" i="107"/>
  <c r="H62" i="107"/>
  <c r="H63" i="107"/>
  <c r="H64" i="107"/>
  <c r="H65" i="107"/>
  <c r="H66" i="107"/>
  <c r="H67" i="107"/>
  <c r="H68" i="107"/>
  <c r="H69" i="107"/>
  <c r="H70" i="107"/>
  <c r="H71" i="107"/>
  <c r="H72" i="107"/>
  <c r="H73" i="107"/>
  <c r="H74" i="107"/>
  <c r="H75" i="107"/>
  <c r="H76" i="107"/>
  <c r="H77" i="107"/>
  <c r="H78" i="107"/>
  <c r="H79" i="107"/>
  <c r="H80" i="107"/>
  <c r="H81" i="107"/>
  <c r="H82" i="107"/>
  <c r="H83" i="107"/>
  <c r="H84" i="107"/>
  <c r="H85" i="107"/>
  <c r="H86" i="107"/>
  <c r="H87" i="107"/>
  <c r="H88" i="107"/>
  <c r="H89" i="107"/>
  <c r="H90" i="107"/>
  <c r="H91" i="107"/>
  <c r="H92" i="107"/>
  <c r="H93" i="107"/>
  <c r="H94" i="107"/>
  <c r="H95" i="107"/>
  <c r="H96" i="107"/>
  <c r="H97" i="107"/>
  <c r="H98" i="107"/>
  <c r="H99" i="107"/>
  <c r="H100" i="107"/>
  <c r="H101" i="107"/>
  <c r="H102" i="107"/>
  <c r="H103" i="107"/>
  <c r="H104" i="107"/>
  <c r="H105" i="107"/>
  <c r="H106" i="107"/>
  <c r="H107" i="107"/>
  <c r="H108" i="107"/>
  <c r="H109" i="107"/>
  <c r="H110" i="107"/>
  <c r="H111" i="107"/>
  <c r="H4" i="94"/>
  <c r="H5" i="94"/>
  <c r="H6" i="94"/>
  <c r="H7" i="94"/>
  <c r="H8" i="94"/>
  <c r="H9" i="94"/>
  <c r="H10" i="94"/>
  <c r="H11" i="94"/>
  <c r="H12" i="94"/>
  <c r="H13" i="94"/>
  <c r="H14" i="94"/>
  <c r="H15" i="94"/>
  <c r="H16" i="94"/>
  <c r="H17" i="94"/>
  <c r="H18" i="94"/>
  <c r="H19" i="94"/>
  <c r="H20" i="94"/>
  <c r="H21" i="94"/>
  <c r="H22" i="94"/>
  <c r="H23" i="94"/>
  <c r="H24" i="94"/>
  <c r="H25" i="94"/>
  <c r="H26" i="94"/>
  <c r="H27" i="94"/>
  <c r="H28" i="94"/>
  <c r="H29" i="94"/>
  <c r="H30" i="94"/>
  <c r="H31" i="94"/>
  <c r="H32" i="94"/>
  <c r="H33" i="94"/>
  <c r="H34" i="94"/>
  <c r="H35" i="94"/>
  <c r="H36" i="94"/>
  <c r="H37" i="94"/>
  <c r="H38" i="94"/>
  <c r="H39" i="94"/>
  <c r="H40" i="94"/>
  <c r="H41" i="94"/>
  <c r="H42" i="94"/>
  <c r="H43" i="94"/>
  <c r="H44" i="94"/>
  <c r="H45" i="94"/>
  <c r="H46" i="94"/>
  <c r="H47" i="94"/>
  <c r="H48" i="94"/>
  <c r="H49" i="94"/>
  <c r="H50" i="94"/>
  <c r="H51" i="94"/>
  <c r="H52" i="94"/>
  <c r="H53" i="94"/>
  <c r="H54" i="94"/>
  <c r="H55" i="94"/>
  <c r="H56" i="94"/>
  <c r="H57" i="94"/>
  <c r="H58" i="94"/>
  <c r="H59" i="94"/>
  <c r="H60" i="94"/>
  <c r="H61" i="94"/>
  <c r="H62" i="94"/>
  <c r="H63" i="94"/>
  <c r="H64" i="94"/>
  <c r="H65" i="94"/>
  <c r="H66" i="94"/>
  <c r="H67" i="94"/>
  <c r="H68" i="94"/>
  <c r="H69" i="94"/>
  <c r="H70" i="94"/>
  <c r="H71" i="94"/>
  <c r="H72" i="94"/>
  <c r="H73" i="94"/>
  <c r="H74" i="94"/>
  <c r="H75" i="94"/>
  <c r="H76" i="94"/>
  <c r="H77" i="94"/>
  <c r="H78" i="94"/>
  <c r="H79" i="94"/>
  <c r="H80" i="94"/>
  <c r="H81" i="94"/>
  <c r="H82" i="94"/>
  <c r="H83" i="94"/>
  <c r="H84" i="94"/>
  <c r="H85" i="94"/>
  <c r="H86" i="94"/>
  <c r="H87" i="94"/>
  <c r="H88" i="94"/>
  <c r="H89" i="94"/>
  <c r="H90" i="94"/>
  <c r="H91" i="94"/>
  <c r="H92" i="94"/>
  <c r="H93" i="94"/>
  <c r="H94" i="94"/>
  <c r="H95" i="94"/>
  <c r="H96" i="94"/>
  <c r="H97" i="94"/>
  <c r="H3" i="94"/>
  <c r="I4" i="85"/>
  <c r="I5" i="85"/>
  <c r="I6" i="85"/>
  <c r="I7" i="85"/>
  <c r="I8" i="85"/>
  <c r="I9" i="85"/>
  <c r="I10" i="85"/>
  <c r="I11" i="85"/>
  <c r="I12" i="85"/>
  <c r="I13" i="85"/>
  <c r="I14" i="85"/>
  <c r="I15" i="85"/>
  <c r="I16" i="85"/>
  <c r="I17" i="85"/>
  <c r="I18" i="85"/>
  <c r="I19" i="85"/>
  <c r="I20" i="85"/>
  <c r="I21" i="85"/>
  <c r="I22" i="85"/>
  <c r="I23" i="85"/>
  <c r="I24" i="85"/>
  <c r="I25" i="85"/>
  <c r="I26" i="85"/>
  <c r="I27" i="85"/>
  <c r="I28" i="85"/>
  <c r="I29" i="85"/>
  <c r="I30" i="85"/>
  <c r="I31" i="85"/>
  <c r="I32" i="85"/>
  <c r="I33" i="85"/>
  <c r="I34" i="85"/>
  <c r="I35" i="85"/>
  <c r="I36" i="85"/>
  <c r="I37" i="85"/>
  <c r="I38" i="85"/>
  <c r="I39" i="85"/>
  <c r="I40" i="85"/>
  <c r="I41" i="85"/>
  <c r="I42" i="85"/>
  <c r="I43" i="85"/>
  <c r="I44" i="85"/>
  <c r="I45" i="85"/>
  <c r="I46" i="85"/>
  <c r="I47" i="85"/>
  <c r="I48" i="85"/>
  <c r="I49" i="85"/>
  <c r="I50" i="85"/>
  <c r="I51" i="85"/>
  <c r="I52" i="85"/>
  <c r="I53" i="85"/>
  <c r="I54" i="85"/>
  <c r="I55" i="85"/>
  <c r="I56" i="85"/>
  <c r="I57" i="85"/>
  <c r="I58" i="85"/>
  <c r="I59" i="85"/>
  <c r="I60" i="85"/>
  <c r="I61" i="85"/>
  <c r="I62" i="85"/>
  <c r="I63" i="85"/>
  <c r="I64" i="85"/>
  <c r="I65" i="85"/>
  <c r="I66" i="85"/>
  <c r="I67" i="85"/>
  <c r="I68" i="85"/>
  <c r="I69" i="85"/>
  <c r="I70" i="85"/>
  <c r="I71" i="85"/>
  <c r="I72" i="85"/>
  <c r="I73" i="85"/>
  <c r="I74" i="85"/>
  <c r="I75" i="85"/>
  <c r="I76" i="85"/>
  <c r="I77" i="85"/>
  <c r="I78" i="85"/>
  <c r="I79" i="85"/>
  <c r="I80" i="85"/>
  <c r="I81" i="85"/>
  <c r="I82" i="85"/>
  <c r="I83" i="85"/>
  <c r="I84" i="85"/>
  <c r="I85" i="85"/>
  <c r="I86" i="85"/>
  <c r="I87" i="85"/>
  <c r="I88" i="85"/>
  <c r="I89" i="85"/>
  <c r="I90" i="85"/>
  <c r="I91" i="85"/>
  <c r="I92" i="85"/>
  <c r="I93" i="85"/>
  <c r="I94" i="85"/>
  <c r="I95" i="85"/>
  <c r="I96" i="85"/>
  <c r="I97" i="85"/>
  <c r="I98" i="85"/>
  <c r="I99" i="85"/>
  <c r="I100" i="85"/>
  <c r="I101" i="85"/>
  <c r="I102" i="85"/>
  <c r="I103" i="85"/>
  <c r="I104" i="85"/>
  <c r="I105" i="85"/>
  <c r="I106" i="85"/>
  <c r="I107" i="85"/>
  <c r="I108" i="85"/>
  <c r="I109" i="85"/>
  <c r="I110" i="85"/>
  <c r="I111" i="85"/>
  <c r="I112" i="85"/>
  <c r="I113" i="85"/>
  <c r="I114" i="85"/>
  <c r="I115" i="85"/>
  <c r="I116" i="85"/>
  <c r="I3" i="85"/>
  <c r="A9" i="114"/>
  <c r="A7" i="114"/>
  <c r="A8" i="114"/>
  <c r="A6" i="114"/>
  <c r="A5" i="114"/>
  <c r="A4" i="114"/>
  <c r="A3" i="114"/>
  <c r="A2" i="114"/>
  <c r="A4" i="113"/>
  <c r="A5" i="113"/>
  <c r="A6" i="113"/>
  <c r="A7" i="113"/>
  <c r="A8" i="113"/>
  <c r="A9" i="113"/>
  <c r="A10" i="113"/>
  <c r="A11" i="113"/>
  <c r="A12" i="113"/>
  <c r="A13" i="113"/>
  <c r="A14" i="113"/>
  <c r="A15" i="113"/>
  <c r="A16" i="113"/>
  <c r="A17" i="113"/>
  <c r="A18" i="113"/>
  <c r="A19" i="113"/>
  <c r="A20" i="113"/>
  <c r="A21" i="113"/>
  <c r="A22" i="113"/>
  <c r="A23" i="113"/>
  <c r="A24" i="113"/>
  <c r="A25" i="113"/>
  <c r="A26" i="113"/>
  <c r="A27" i="113"/>
  <c r="A28" i="113"/>
  <c r="A29" i="113"/>
  <c r="A30" i="113"/>
  <c r="A31" i="113"/>
  <c r="A32" i="113"/>
  <c r="A33" i="113"/>
  <c r="A34" i="113"/>
  <c r="A35" i="113"/>
  <c r="A2" i="113"/>
  <c r="A3" i="113"/>
  <c r="A2" i="111" l="1"/>
  <c r="H3" i="85"/>
  <c r="A3" i="111"/>
  <c r="A4" i="111"/>
  <c r="A5" i="111"/>
  <c r="A6" i="111"/>
  <c r="A7" i="111"/>
  <c r="A8" i="111"/>
  <c r="A9" i="111"/>
  <c r="A10" i="111"/>
  <c r="A11" i="111"/>
  <c r="A12" i="111"/>
  <c r="A13" i="111"/>
  <c r="A14" i="111"/>
  <c r="A15" i="111"/>
  <c r="A16" i="111"/>
  <c r="A17" i="111"/>
  <c r="A18" i="111"/>
  <c r="A19" i="111"/>
  <c r="A20" i="111"/>
  <c r="A22" i="111"/>
  <c r="A23" i="111"/>
  <c r="A24" i="111"/>
  <c r="A25" i="111"/>
  <c r="A26" i="111"/>
  <c r="A27" i="111"/>
  <c r="A28" i="111"/>
  <c r="A29" i="111"/>
  <c r="A30" i="111"/>
  <c r="A31" i="111"/>
  <c r="A32" i="111"/>
  <c r="A21" i="111"/>
  <c r="A33" i="111"/>
  <c r="A34" i="111"/>
  <c r="A35" i="111"/>
  <c r="A4" i="112"/>
  <c r="A5" i="112"/>
  <c r="A6" i="112"/>
  <c r="A7" i="112"/>
  <c r="A8" i="112"/>
  <c r="A9" i="112"/>
  <c r="A10" i="112"/>
  <c r="A11" i="112"/>
  <c r="A12" i="112"/>
  <c r="A13" i="112"/>
  <c r="A14" i="112"/>
  <c r="A15" i="112"/>
  <c r="A16" i="112"/>
  <c r="A17" i="112"/>
  <c r="A18" i="112"/>
  <c r="A19" i="112"/>
  <c r="A21" i="112"/>
  <c r="A22" i="112"/>
  <c r="A23" i="112"/>
  <c r="A20" i="112"/>
  <c r="A2" i="112"/>
  <c r="A24" i="112"/>
  <c r="A25" i="112"/>
  <c r="A26" i="112"/>
  <c r="A3" i="112"/>
  <c r="A7" i="110"/>
  <c r="A8" i="110"/>
  <c r="A9" i="110"/>
  <c r="A2" i="110"/>
  <c r="A3" i="110"/>
  <c r="A10" i="110"/>
  <c r="A4" i="110"/>
  <c r="A5" i="110"/>
  <c r="A11" i="110"/>
  <c r="A12" i="110"/>
  <c r="A13" i="110"/>
  <c r="A14" i="110"/>
  <c r="A6" i="110"/>
  <c r="A3" i="109"/>
  <c r="A4" i="109"/>
  <c r="A5" i="109"/>
  <c r="A6" i="109"/>
  <c r="A7" i="109"/>
  <c r="A8" i="109"/>
  <c r="A9" i="109"/>
  <c r="A10" i="109"/>
  <c r="A11" i="109"/>
  <c r="A12" i="109"/>
  <c r="A13" i="109"/>
  <c r="A14" i="109"/>
  <c r="A15" i="109"/>
  <c r="A16" i="109"/>
  <c r="A17" i="109"/>
  <c r="A18" i="109"/>
  <c r="A19" i="109"/>
  <c r="A20" i="109"/>
  <c r="A21" i="109"/>
  <c r="A22" i="109"/>
  <c r="A23" i="109"/>
  <c r="A24" i="109"/>
  <c r="A25" i="109"/>
  <c r="A26" i="109"/>
  <c r="A27" i="109"/>
  <c r="A28" i="109"/>
  <c r="A29" i="109"/>
  <c r="A30" i="109"/>
  <c r="A31" i="109"/>
  <c r="A32" i="109"/>
  <c r="A33" i="109"/>
  <c r="A34" i="109"/>
  <c r="A35" i="109"/>
  <c r="A36" i="109"/>
  <c r="A37" i="109"/>
  <c r="A38" i="109"/>
  <c r="A39" i="109"/>
  <c r="A40" i="109"/>
  <c r="A41" i="109"/>
  <c r="A42" i="109"/>
  <c r="A43" i="109"/>
  <c r="A44" i="109"/>
  <c r="A45" i="109"/>
  <c r="A46" i="109"/>
  <c r="A47" i="109"/>
  <c r="A48" i="109"/>
  <c r="A49" i="109"/>
  <c r="A50" i="109"/>
  <c r="A51" i="109"/>
  <c r="A52" i="109"/>
  <c r="A53" i="109"/>
  <c r="A54" i="109"/>
  <c r="A55" i="109"/>
  <c r="A56" i="109"/>
  <c r="A57" i="109"/>
  <c r="A58" i="109"/>
  <c r="A59" i="109"/>
  <c r="A2" i="109"/>
  <c r="H4" i="83"/>
  <c r="H5" i="83"/>
  <c r="H6" i="83"/>
  <c r="H7" i="83"/>
  <c r="H8" i="83"/>
  <c r="H9" i="83"/>
  <c r="H10" i="83"/>
  <c r="H11" i="83"/>
  <c r="H12" i="83"/>
  <c r="H13" i="83"/>
  <c r="H14" i="83"/>
  <c r="H15" i="83"/>
  <c r="H16" i="83"/>
  <c r="H17" i="83"/>
  <c r="H18" i="83"/>
  <c r="H19" i="83"/>
  <c r="H20" i="83"/>
  <c r="H21" i="83"/>
  <c r="H22" i="83"/>
  <c r="H23" i="83"/>
  <c r="H24" i="83"/>
  <c r="H25" i="83"/>
  <c r="H26" i="83"/>
  <c r="H27" i="83"/>
  <c r="H28" i="83"/>
  <c r="H29" i="83"/>
  <c r="H30" i="83"/>
  <c r="H31" i="83"/>
  <c r="H32" i="83"/>
  <c r="H33" i="83"/>
  <c r="H34" i="83"/>
  <c r="H35" i="83"/>
  <c r="H36" i="83"/>
  <c r="H37" i="83"/>
  <c r="H38" i="83"/>
  <c r="H39" i="83"/>
  <c r="H40" i="83"/>
  <c r="H41" i="83"/>
  <c r="H42" i="83"/>
  <c r="H43" i="83"/>
  <c r="H44" i="83"/>
  <c r="H45" i="83"/>
  <c r="H46" i="83"/>
  <c r="H47" i="83"/>
  <c r="H48" i="83"/>
  <c r="H49" i="83"/>
  <c r="H50" i="83"/>
  <c r="H51" i="83"/>
  <c r="H52" i="83"/>
  <c r="H53" i="83"/>
  <c r="H54" i="83"/>
  <c r="H55" i="83"/>
  <c r="H56" i="83"/>
  <c r="H57" i="83"/>
  <c r="H58" i="83"/>
  <c r="H59" i="83"/>
  <c r="H60" i="83"/>
  <c r="H61" i="83"/>
  <c r="H62" i="83"/>
  <c r="H63" i="83"/>
  <c r="H64" i="83"/>
  <c r="H65" i="83"/>
  <c r="H66" i="83"/>
  <c r="H67" i="83"/>
  <c r="H68" i="83"/>
  <c r="H69" i="83"/>
  <c r="H70" i="83"/>
  <c r="H71" i="83"/>
  <c r="H72" i="83"/>
  <c r="H73" i="83"/>
  <c r="H74" i="83"/>
  <c r="H75" i="83"/>
  <c r="H76" i="83"/>
  <c r="H77" i="83"/>
  <c r="H78" i="83"/>
  <c r="H79" i="83"/>
  <c r="H80" i="83"/>
  <c r="H81" i="83"/>
  <c r="H82" i="83"/>
  <c r="H83" i="83"/>
  <c r="H84" i="83"/>
  <c r="H85" i="83"/>
  <c r="H86" i="83"/>
  <c r="H87" i="83"/>
  <c r="H88" i="83"/>
  <c r="H89" i="83"/>
  <c r="H90" i="83"/>
  <c r="H91" i="83"/>
  <c r="H92" i="83"/>
  <c r="H93" i="83"/>
  <c r="H94" i="83"/>
  <c r="H95" i="83"/>
  <c r="H96" i="83"/>
  <c r="H97" i="83"/>
  <c r="H98" i="83"/>
  <c r="H99" i="83"/>
  <c r="H100" i="83"/>
  <c r="H101" i="83"/>
  <c r="H102" i="83"/>
  <c r="H103" i="83"/>
  <c r="H104" i="83"/>
  <c r="H105" i="83"/>
  <c r="H106" i="83"/>
  <c r="H107" i="83"/>
  <c r="H108" i="83"/>
  <c r="H109" i="83"/>
  <c r="H110" i="83"/>
  <c r="H111" i="83"/>
  <c r="H3" i="83"/>
  <c r="I3" i="96" l="1"/>
  <c r="I4" i="96"/>
  <c r="I5" i="96"/>
  <c r="I6" i="96"/>
  <c r="I7" i="96"/>
  <c r="I8" i="96"/>
  <c r="I9" i="96"/>
  <c r="I10" i="96"/>
  <c r="I11" i="96"/>
  <c r="I12" i="96"/>
  <c r="I13" i="96"/>
  <c r="I14" i="96"/>
  <c r="I15" i="96"/>
  <c r="I16" i="96"/>
  <c r="I17" i="96"/>
  <c r="I18" i="96"/>
  <c r="I19" i="96"/>
  <c r="I20" i="96"/>
  <c r="I21" i="96"/>
  <c r="I22" i="96"/>
  <c r="I23" i="96"/>
  <c r="I24" i="96"/>
  <c r="I25" i="96"/>
  <c r="I26" i="96"/>
  <c r="I27" i="96"/>
  <c r="I28" i="96"/>
  <c r="I29" i="96"/>
  <c r="I30" i="96"/>
  <c r="I31" i="96"/>
  <c r="I32" i="96"/>
  <c r="I33" i="96"/>
  <c r="I34" i="96"/>
  <c r="I35" i="96"/>
  <c r="I36" i="96"/>
  <c r="I37" i="96"/>
  <c r="I38" i="96"/>
  <c r="I39" i="96"/>
  <c r="I40" i="96"/>
  <c r="I41" i="96"/>
  <c r="I42" i="96"/>
  <c r="I43" i="96"/>
  <c r="I44" i="96"/>
  <c r="I45" i="96"/>
  <c r="I46" i="96"/>
  <c r="I47" i="96"/>
  <c r="I48" i="96"/>
  <c r="I49" i="96"/>
  <c r="I50" i="96"/>
  <c r="I51" i="96"/>
  <c r="I52" i="96"/>
  <c r="I53" i="96"/>
  <c r="I54" i="96"/>
  <c r="I55" i="96"/>
  <c r="I56" i="96"/>
  <c r="I57" i="96"/>
  <c r="I58" i="96"/>
  <c r="I59" i="96"/>
  <c r="I60" i="96"/>
  <c r="I61" i="96"/>
  <c r="I62" i="96"/>
  <c r="I63" i="96"/>
  <c r="I64" i="96"/>
  <c r="I65" i="96"/>
  <c r="I66" i="96"/>
  <c r="I67" i="96"/>
  <c r="I68" i="96"/>
  <c r="I69" i="96"/>
  <c r="I70" i="96"/>
  <c r="I71" i="96"/>
  <c r="I72" i="96"/>
  <c r="I73" i="96"/>
  <c r="I74" i="96"/>
  <c r="I75" i="96"/>
  <c r="I76" i="96"/>
  <c r="I77" i="96"/>
  <c r="I78" i="96"/>
  <c r="I79" i="96"/>
  <c r="I80" i="96"/>
  <c r="I81" i="96"/>
  <c r="I82" i="96"/>
  <c r="I83" i="96"/>
  <c r="I84" i="96"/>
  <c r="I85" i="96"/>
  <c r="I86" i="96"/>
  <c r="I87" i="96"/>
  <c r="I88" i="96"/>
  <c r="I89" i="96"/>
  <c r="I90" i="96"/>
  <c r="I91" i="96"/>
  <c r="I92" i="96"/>
  <c r="I93" i="96"/>
  <c r="I94" i="96"/>
  <c r="I95" i="96"/>
  <c r="I96" i="96"/>
  <c r="I97" i="96"/>
  <c r="I3" i="107"/>
  <c r="I4" i="107"/>
  <c r="I5" i="107"/>
  <c r="I6" i="107"/>
  <c r="I7" i="107"/>
  <c r="I8" i="107"/>
  <c r="I9" i="107"/>
  <c r="I10" i="107"/>
  <c r="I11" i="107"/>
  <c r="I12" i="107"/>
  <c r="I13" i="107"/>
  <c r="I14" i="107"/>
  <c r="I15" i="107"/>
  <c r="I16" i="107"/>
  <c r="I17" i="107"/>
  <c r="I18" i="107"/>
  <c r="I19" i="107"/>
  <c r="I20" i="107"/>
  <c r="I21" i="107"/>
  <c r="I22" i="107"/>
  <c r="I23" i="107"/>
  <c r="I24" i="107"/>
  <c r="I25" i="107"/>
  <c r="I26" i="107"/>
  <c r="I27" i="107"/>
  <c r="I28" i="107"/>
  <c r="I29" i="107"/>
  <c r="I30" i="107"/>
  <c r="I31" i="107"/>
  <c r="I32" i="107"/>
  <c r="I33" i="107"/>
  <c r="I34" i="107"/>
  <c r="I35" i="107"/>
  <c r="I36" i="107"/>
  <c r="I37" i="107"/>
  <c r="I38" i="107"/>
  <c r="I39" i="107"/>
  <c r="I40" i="107"/>
  <c r="I41" i="107"/>
  <c r="I42" i="107"/>
  <c r="I43" i="107"/>
  <c r="I44" i="107"/>
  <c r="I45" i="107"/>
  <c r="I46" i="107"/>
  <c r="I47" i="107"/>
  <c r="I48" i="107"/>
  <c r="I49" i="107"/>
  <c r="I50" i="107"/>
  <c r="I51" i="107"/>
  <c r="I52" i="107"/>
  <c r="I53" i="107"/>
  <c r="I54" i="107"/>
  <c r="I55" i="107"/>
  <c r="I56" i="107"/>
  <c r="I57" i="107"/>
  <c r="I58" i="107"/>
  <c r="I59" i="107"/>
  <c r="I60" i="107"/>
  <c r="I61" i="107"/>
  <c r="I62" i="107"/>
  <c r="I63" i="107"/>
  <c r="I64" i="107"/>
  <c r="I65" i="107"/>
  <c r="I66" i="107"/>
  <c r="I67" i="107"/>
  <c r="I68" i="107"/>
  <c r="I69" i="107"/>
  <c r="I70" i="107"/>
  <c r="I71" i="107"/>
  <c r="I72" i="107"/>
  <c r="I73" i="107"/>
  <c r="I74" i="107"/>
  <c r="I75" i="107"/>
  <c r="I76" i="107"/>
  <c r="I77" i="107"/>
  <c r="I78" i="107"/>
  <c r="I79" i="107"/>
  <c r="I80" i="107"/>
  <c r="I81" i="107"/>
  <c r="I82" i="107"/>
  <c r="I83" i="107"/>
  <c r="I84" i="107"/>
  <c r="I85" i="107"/>
  <c r="I86" i="107"/>
  <c r="I87" i="107"/>
  <c r="I88" i="107"/>
  <c r="I89" i="107"/>
  <c r="I90" i="107"/>
  <c r="I91" i="107"/>
  <c r="I92" i="107"/>
  <c r="I93" i="107"/>
  <c r="I94" i="107"/>
  <c r="I95" i="107"/>
  <c r="I96" i="107"/>
  <c r="I97" i="107"/>
  <c r="I98" i="107"/>
  <c r="I99" i="107"/>
  <c r="I100" i="107"/>
  <c r="I101" i="107"/>
  <c r="I102" i="107"/>
  <c r="I103" i="107"/>
  <c r="I104" i="107"/>
  <c r="I105" i="107"/>
  <c r="I106" i="107"/>
  <c r="I107" i="107"/>
  <c r="I108" i="107"/>
  <c r="I109" i="107"/>
  <c r="I110" i="107"/>
  <c r="I111" i="107"/>
  <c r="J5" i="107"/>
  <c r="J6" i="107"/>
  <c r="J7" i="107"/>
  <c r="J8" i="107"/>
  <c r="J9" i="107"/>
  <c r="J10" i="107"/>
  <c r="J11" i="107"/>
  <c r="J12" i="107"/>
  <c r="J13" i="107"/>
  <c r="J14" i="107"/>
  <c r="J15" i="107"/>
  <c r="J16" i="107"/>
  <c r="J17" i="107"/>
  <c r="J18" i="107"/>
  <c r="J19" i="107"/>
  <c r="J20" i="107"/>
  <c r="J21" i="107"/>
  <c r="J22" i="107"/>
  <c r="J23" i="107"/>
  <c r="J24" i="107"/>
  <c r="J25" i="107"/>
  <c r="J26" i="107"/>
  <c r="J27" i="107"/>
  <c r="J28" i="107"/>
  <c r="J29" i="107"/>
  <c r="J30" i="107"/>
  <c r="J31" i="107"/>
  <c r="J32" i="107"/>
  <c r="J33" i="107"/>
  <c r="J34" i="107"/>
  <c r="J35" i="107"/>
  <c r="J36" i="107"/>
  <c r="J37" i="107"/>
  <c r="J38" i="107"/>
  <c r="J39" i="107"/>
  <c r="J40" i="107"/>
  <c r="J41" i="107"/>
  <c r="J42" i="107"/>
  <c r="J43" i="107"/>
  <c r="J44" i="107"/>
  <c r="J45" i="107"/>
  <c r="J46" i="107"/>
  <c r="J47" i="107"/>
  <c r="J48" i="107"/>
  <c r="J49" i="107"/>
  <c r="J50" i="107"/>
  <c r="J51" i="107"/>
  <c r="J52" i="107"/>
  <c r="J53" i="107"/>
  <c r="J54" i="107"/>
  <c r="J55" i="107"/>
  <c r="J56" i="107"/>
  <c r="J57" i="107"/>
  <c r="J58" i="107"/>
  <c r="J59" i="107"/>
  <c r="J60" i="107"/>
  <c r="J61" i="107"/>
  <c r="J62" i="107"/>
  <c r="J63" i="107"/>
  <c r="J64" i="107"/>
  <c r="J65" i="107"/>
  <c r="J66" i="107"/>
  <c r="J67" i="107"/>
  <c r="J68" i="107"/>
  <c r="J69" i="107"/>
  <c r="J70" i="107"/>
  <c r="J71" i="107"/>
  <c r="J72" i="107"/>
  <c r="J73" i="107"/>
  <c r="J74" i="107"/>
  <c r="J75" i="107"/>
  <c r="J76" i="107"/>
  <c r="J77" i="107"/>
  <c r="J78" i="107"/>
  <c r="J79" i="107"/>
  <c r="J80" i="107"/>
  <c r="J81" i="107"/>
  <c r="J82" i="107"/>
  <c r="J83" i="107"/>
  <c r="J84" i="107"/>
  <c r="J85" i="107"/>
  <c r="J86" i="107"/>
  <c r="J87" i="107"/>
  <c r="J88" i="107"/>
  <c r="J89" i="107"/>
  <c r="J90" i="107"/>
  <c r="J91" i="107"/>
  <c r="J92" i="107"/>
  <c r="J93" i="107"/>
  <c r="J94" i="107"/>
  <c r="J95" i="107"/>
  <c r="J96" i="107"/>
  <c r="J97" i="107"/>
  <c r="J98" i="107"/>
  <c r="J99" i="107"/>
  <c r="J100" i="107"/>
  <c r="J101" i="107"/>
  <c r="J102" i="107"/>
  <c r="J103" i="107"/>
  <c r="J104" i="107"/>
  <c r="J105" i="107"/>
  <c r="J106" i="107"/>
  <c r="J107" i="107"/>
  <c r="J108" i="107"/>
  <c r="J109" i="107"/>
  <c r="J110" i="107"/>
  <c r="J111" i="107"/>
  <c r="G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B11" i="107"/>
  <c r="B10" i="107"/>
  <c r="B9" i="107"/>
  <c r="B8" i="107"/>
  <c r="B7" i="107"/>
  <c r="B6" i="107"/>
  <c r="B5" i="107"/>
  <c r="B4" i="107"/>
  <c r="B3" i="107"/>
  <c r="G98" i="96"/>
  <c r="J97" i="96"/>
  <c r="B97" i="96"/>
  <c r="J96" i="96"/>
  <c r="B96" i="96"/>
  <c r="J95" i="96"/>
  <c r="B95" i="96"/>
  <c r="J94" i="96"/>
  <c r="B94" i="96"/>
  <c r="J93" i="96"/>
  <c r="B93" i="96"/>
  <c r="J92" i="96"/>
  <c r="B92" i="96"/>
  <c r="J91" i="96"/>
  <c r="B91" i="96"/>
  <c r="J90" i="96"/>
  <c r="B90" i="96"/>
  <c r="J89" i="96"/>
  <c r="B89" i="96"/>
  <c r="J88" i="96"/>
  <c r="B88" i="96"/>
  <c r="J87" i="96"/>
  <c r="B87" i="96"/>
  <c r="J86" i="96"/>
  <c r="B86" i="96"/>
  <c r="J85" i="96"/>
  <c r="B85" i="96"/>
  <c r="J84" i="96"/>
  <c r="B84" i="96"/>
  <c r="J83" i="96"/>
  <c r="B83" i="96"/>
  <c r="J82" i="96"/>
  <c r="B82" i="96"/>
  <c r="J81" i="96"/>
  <c r="B81" i="96"/>
  <c r="J80" i="96"/>
  <c r="B80" i="96"/>
  <c r="J79" i="96"/>
  <c r="B79" i="96"/>
  <c r="J78" i="96"/>
  <c r="B78" i="96"/>
  <c r="J77" i="96"/>
  <c r="B77" i="96"/>
  <c r="J76" i="96"/>
  <c r="B76" i="96"/>
  <c r="J75" i="96"/>
  <c r="B75" i="96"/>
  <c r="J74" i="96"/>
  <c r="B74" i="96"/>
  <c r="J73" i="96"/>
  <c r="B73" i="96"/>
  <c r="J72" i="96"/>
  <c r="B72" i="96"/>
  <c r="J71" i="96"/>
  <c r="B71" i="96"/>
  <c r="J70" i="96"/>
  <c r="B70" i="96"/>
  <c r="J69" i="96"/>
  <c r="B69" i="96"/>
  <c r="J68" i="96"/>
  <c r="B68" i="96"/>
  <c r="J67" i="96"/>
  <c r="B67" i="96"/>
  <c r="J66" i="96"/>
  <c r="B66" i="96"/>
  <c r="J65" i="96"/>
  <c r="B65" i="96"/>
  <c r="J64" i="96"/>
  <c r="B64" i="96"/>
  <c r="J63" i="96"/>
  <c r="B63" i="96"/>
  <c r="J62" i="96"/>
  <c r="B62" i="96"/>
  <c r="J61" i="96"/>
  <c r="B61" i="96"/>
  <c r="J60" i="96"/>
  <c r="B60" i="96"/>
  <c r="J59" i="96"/>
  <c r="B59" i="96"/>
  <c r="J58" i="96"/>
  <c r="B58" i="96"/>
  <c r="J57" i="96"/>
  <c r="B57" i="96"/>
  <c r="J56" i="96"/>
  <c r="B56" i="96"/>
  <c r="J55" i="96"/>
  <c r="B55" i="96"/>
  <c r="J54" i="96"/>
  <c r="B54" i="96"/>
  <c r="J53" i="96"/>
  <c r="B53" i="96"/>
  <c r="J52" i="96"/>
  <c r="B52" i="96"/>
  <c r="J51" i="96"/>
  <c r="B51" i="96"/>
  <c r="J50" i="96"/>
  <c r="B50" i="96"/>
  <c r="J49" i="96"/>
  <c r="B49" i="96"/>
  <c r="J48" i="96"/>
  <c r="B48" i="96"/>
  <c r="J47" i="96"/>
  <c r="B47" i="96"/>
  <c r="J46" i="96"/>
  <c r="B46" i="96"/>
  <c r="J45" i="96"/>
  <c r="B45" i="96"/>
  <c r="J44" i="96"/>
  <c r="B44" i="96"/>
  <c r="J43" i="96"/>
  <c r="B43" i="96"/>
  <c r="J42" i="96"/>
  <c r="B42" i="96"/>
  <c r="J41" i="96"/>
  <c r="B41" i="96"/>
  <c r="J40" i="96"/>
  <c r="B40" i="96"/>
  <c r="J39" i="96"/>
  <c r="B39" i="96"/>
  <c r="J38" i="96"/>
  <c r="B38" i="96"/>
  <c r="J37" i="96"/>
  <c r="B37" i="96"/>
  <c r="J36" i="96"/>
  <c r="B36" i="96"/>
  <c r="J35" i="96"/>
  <c r="B35" i="96"/>
  <c r="J34" i="96"/>
  <c r="B34" i="96"/>
  <c r="J33" i="96"/>
  <c r="B33" i="96"/>
  <c r="J32" i="96"/>
  <c r="B32" i="96"/>
  <c r="J31" i="96"/>
  <c r="B31" i="96"/>
  <c r="J30" i="96"/>
  <c r="B30" i="96"/>
  <c r="J29" i="96"/>
  <c r="B29" i="96"/>
  <c r="J28" i="96"/>
  <c r="B28" i="96"/>
  <c r="J27" i="96"/>
  <c r="B27" i="96"/>
  <c r="J26" i="96"/>
  <c r="B26" i="96"/>
  <c r="J25" i="96"/>
  <c r="B25" i="96"/>
  <c r="J24" i="96"/>
  <c r="B24" i="96"/>
  <c r="J23" i="96"/>
  <c r="B23" i="96"/>
  <c r="J22" i="96"/>
  <c r="B22" i="96"/>
  <c r="J21" i="96"/>
  <c r="B21" i="96"/>
  <c r="J20" i="96"/>
  <c r="B20" i="96"/>
  <c r="J19" i="96"/>
  <c r="B19" i="96"/>
  <c r="J18" i="96"/>
  <c r="B18" i="96"/>
  <c r="J17" i="96"/>
  <c r="B17" i="96"/>
  <c r="J16" i="96"/>
  <c r="B16" i="96"/>
  <c r="J15" i="96"/>
  <c r="B15" i="96"/>
  <c r="J14" i="96"/>
  <c r="B14" i="96"/>
  <c r="J13" i="96"/>
  <c r="B13" i="96"/>
  <c r="J12" i="96"/>
  <c r="B12" i="96"/>
  <c r="J11" i="96"/>
  <c r="B11" i="96"/>
  <c r="J10" i="96"/>
  <c r="B10" i="96"/>
  <c r="J9" i="96"/>
  <c r="B9" i="96"/>
  <c r="J8" i="96"/>
  <c r="B8" i="96"/>
  <c r="J7" i="96"/>
  <c r="B7" i="96"/>
  <c r="J6" i="96"/>
  <c r="B6" i="96"/>
  <c r="J5" i="96"/>
  <c r="B5" i="96"/>
  <c r="J4" i="96"/>
  <c r="B4" i="96"/>
  <c r="B3" i="96"/>
  <c r="I7" i="94"/>
  <c r="I8" i="94"/>
  <c r="I9" i="94"/>
  <c r="I10" i="94"/>
  <c r="I11" i="94"/>
  <c r="I12" i="94"/>
  <c r="I13" i="94"/>
  <c r="I14" i="94"/>
  <c r="I15" i="94"/>
  <c r="I16" i="94"/>
  <c r="I17" i="94"/>
  <c r="I18" i="94"/>
  <c r="I19" i="94"/>
  <c r="I20" i="94"/>
  <c r="I21" i="94"/>
  <c r="I22" i="94"/>
  <c r="I23" i="94"/>
  <c r="I24" i="94"/>
  <c r="I25" i="94"/>
  <c r="I26" i="94"/>
  <c r="I27" i="94"/>
  <c r="I28" i="94"/>
  <c r="I29" i="94"/>
  <c r="I30" i="94"/>
  <c r="I31" i="94"/>
  <c r="I32" i="94"/>
  <c r="I33" i="94"/>
  <c r="I34" i="94"/>
  <c r="I35" i="94"/>
  <c r="I36" i="94"/>
  <c r="I37" i="94"/>
  <c r="I38" i="94"/>
  <c r="I39" i="94"/>
  <c r="I40" i="94"/>
  <c r="I41" i="94"/>
  <c r="I42" i="94"/>
  <c r="I43" i="94"/>
  <c r="I44" i="94"/>
  <c r="I45" i="94"/>
  <c r="I46" i="94"/>
  <c r="I47" i="94"/>
  <c r="I48" i="94"/>
  <c r="I49" i="94"/>
  <c r="I50" i="94"/>
  <c r="I51" i="94"/>
  <c r="I52" i="94"/>
  <c r="I53" i="94"/>
  <c r="I54" i="94"/>
  <c r="I55" i="94"/>
  <c r="I56" i="94"/>
  <c r="I57" i="94"/>
  <c r="I58" i="94"/>
  <c r="I59" i="94"/>
  <c r="I60" i="94"/>
  <c r="I61" i="94"/>
  <c r="I62" i="94"/>
  <c r="I63" i="94"/>
  <c r="I64" i="94"/>
  <c r="I65" i="94"/>
  <c r="I66" i="94"/>
  <c r="I67" i="94"/>
  <c r="I68" i="94"/>
  <c r="I69" i="94"/>
  <c r="I70" i="94"/>
  <c r="I71" i="94"/>
  <c r="I72" i="94"/>
  <c r="I73" i="94"/>
  <c r="I74" i="94"/>
  <c r="I75" i="94"/>
  <c r="I76" i="94"/>
  <c r="I77" i="94"/>
  <c r="I78" i="94"/>
  <c r="I79" i="94"/>
  <c r="I80" i="94"/>
  <c r="I81" i="94"/>
  <c r="I82" i="94"/>
  <c r="I83" i="94"/>
  <c r="I84" i="94"/>
  <c r="I85" i="94"/>
  <c r="I86" i="94"/>
  <c r="I87" i="94"/>
  <c r="I88" i="94"/>
  <c r="I89" i="94"/>
  <c r="I90" i="94"/>
  <c r="I91" i="94"/>
  <c r="I92" i="94"/>
  <c r="I93" i="94"/>
  <c r="I94" i="94"/>
  <c r="I95" i="94"/>
  <c r="I96" i="94"/>
  <c r="I97" i="94"/>
  <c r="I3" i="94"/>
  <c r="I4" i="94"/>
  <c r="I5" i="94"/>
  <c r="I6" i="94"/>
  <c r="G98" i="94"/>
  <c r="J97" i="94"/>
  <c r="B97" i="94"/>
  <c r="J96" i="94"/>
  <c r="B96" i="94"/>
  <c r="J95" i="94"/>
  <c r="B95" i="94"/>
  <c r="J94" i="94"/>
  <c r="B94" i="94"/>
  <c r="J93" i="94"/>
  <c r="B93" i="94"/>
  <c r="J92" i="94"/>
  <c r="B92" i="94"/>
  <c r="J91" i="94"/>
  <c r="B91" i="94"/>
  <c r="J90" i="94"/>
  <c r="B90" i="94"/>
  <c r="J89" i="94"/>
  <c r="B89" i="94"/>
  <c r="J88" i="94"/>
  <c r="B88" i="94"/>
  <c r="J87" i="94"/>
  <c r="B87" i="94"/>
  <c r="J86" i="94"/>
  <c r="B86" i="94"/>
  <c r="J85" i="94"/>
  <c r="B85" i="94"/>
  <c r="J84" i="94"/>
  <c r="B84" i="94"/>
  <c r="J83" i="94"/>
  <c r="B83" i="94"/>
  <c r="J82" i="94"/>
  <c r="B82" i="94"/>
  <c r="J81" i="94"/>
  <c r="B81" i="94"/>
  <c r="J80" i="94"/>
  <c r="B80" i="94"/>
  <c r="J79" i="94"/>
  <c r="B79" i="94"/>
  <c r="J78" i="94"/>
  <c r="B78" i="94"/>
  <c r="J77" i="94"/>
  <c r="B77" i="94"/>
  <c r="J76" i="94"/>
  <c r="B76" i="94"/>
  <c r="J75" i="94"/>
  <c r="B75" i="94"/>
  <c r="J74" i="94"/>
  <c r="B74" i="94"/>
  <c r="J73" i="94"/>
  <c r="B73" i="94"/>
  <c r="J72" i="94"/>
  <c r="B72" i="94"/>
  <c r="J71" i="94"/>
  <c r="B71" i="94"/>
  <c r="J70" i="94"/>
  <c r="B70" i="94"/>
  <c r="J69" i="94"/>
  <c r="B69" i="94"/>
  <c r="J68" i="94"/>
  <c r="B68" i="94"/>
  <c r="J67" i="94"/>
  <c r="B67" i="94"/>
  <c r="J66" i="94"/>
  <c r="B66" i="94"/>
  <c r="J65" i="94"/>
  <c r="B65" i="94"/>
  <c r="J64" i="94"/>
  <c r="B64" i="94"/>
  <c r="J63" i="94"/>
  <c r="B63" i="94"/>
  <c r="J62" i="94"/>
  <c r="B62" i="94"/>
  <c r="J61" i="94"/>
  <c r="B61" i="94"/>
  <c r="J60" i="94"/>
  <c r="B60" i="94"/>
  <c r="J59" i="94"/>
  <c r="B59" i="94"/>
  <c r="J58" i="94"/>
  <c r="B58" i="94"/>
  <c r="J57" i="94"/>
  <c r="B57" i="94"/>
  <c r="J56" i="94"/>
  <c r="B56" i="94"/>
  <c r="J55" i="94"/>
  <c r="B55" i="94"/>
  <c r="J54" i="94"/>
  <c r="B54" i="94"/>
  <c r="J53" i="94"/>
  <c r="B53" i="94"/>
  <c r="J52" i="94"/>
  <c r="B52" i="94"/>
  <c r="J51" i="94"/>
  <c r="B51" i="94"/>
  <c r="J50" i="94"/>
  <c r="B50" i="94"/>
  <c r="J49" i="94"/>
  <c r="B49" i="94"/>
  <c r="J48" i="94"/>
  <c r="B48" i="94"/>
  <c r="J47" i="94"/>
  <c r="B47" i="94"/>
  <c r="J46" i="94"/>
  <c r="B46" i="94"/>
  <c r="J45" i="94"/>
  <c r="B45" i="94"/>
  <c r="J44" i="94"/>
  <c r="B44" i="94"/>
  <c r="J43" i="94"/>
  <c r="B43" i="94"/>
  <c r="J42" i="94"/>
  <c r="B42" i="94"/>
  <c r="J41" i="94"/>
  <c r="B41" i="94"/>
  <c r="J40" i="94"/>
  <c r="B40" i="94"/>
  <c r="J39" i="94"/>
  <c r="B39" i="94"/>
  <c r="J38" i="94"/>
  <c r="B38" i="94"/>
  <c r="J37" i="94"/>
  <c r="B37" i="94"/>
  <c r="J36" i="94"/>
  <c r="B36" i="94"/>
  <c r="J35" i="94"/>
  <c r="B35" i="94"/>
  <c r="J34" i="94"/>
  <c r="B34" i="94"/>
  <c r="J33" i="94"/>
  <c r="B33" i="94"/>
  <c r="J32" i="94"/>
  <c r="B32" i="94"/>
  <c r="J31" i="94"/>
  <c r="B31" i="94"/>
  <c r="J30" i="94"/>
  <c r="B30" i="94"/>
  <c r="J29" i="94"/>
  <c r="B29" i="94"/>
  <c r="J28" i="94"/>
  <c r="B28" i="94"/>
  <c r="J27" i="94"/>
  <c r="B27" i="94"/>
  <c r="J26" i="94"/>
  <c r="B26" i="94"/>
  <c r="J25" i="94"/>
  <c r="B25" i="94"/>
  <c r="J24" i="94"/>
  <c r="B24" i="94"/>
  <c r="J23" i="94"/>
  <c r="B23" i="94"/>
  <c r="J22" i="94"/>
  <c r="B22" i="94"/>
  <c r="J21" i="94"/>
  <c r="B21" i="94"/>
  <c r="J20" i="94"/>
  <c r="B20" i="94"/>
  <c r="J19" i="94"/>
  <c r="B19" i="94"/>
  <c r="J18" i="94"/>
  <c r="B18" i="94"/>
  <c r="J17" i="94"/>
  <c r="B17" i="94"/>
  <c r="J16" i="94"/>
  <c r="B16" i="94"/>
  <c r="J15" i="94"/>
  <c r="B15" i="94"/>
  <c r="J14" i="94"/>
  <c r="B14" i="94"/>
  <c r="J13" i="94"/>
  <c r="B13" i="94"/>
  <c r="J12" i="94"/>
  <c r="B12" i="94"/>
  <c r="J11" i="94"/>
  <c r="B11" i="94"/>
  <c r="J10" i="94"/>
  <c r="B10" i="94"/>
  <c r="J9" i="94"/>
  <c r="B9" i="94"/>
  <c r="J8" i="94"/>
  <c r="B8" i="94"/>
  <c r="B7" i="94"/>
  <c r="B6" i="94"/>
  <c r="B5" i="94"/>
  <c r="B4" i="94"/>
  <c r="B3" i="94"/>
  <c r="H4" i="85"/>
  <c r="H5" i="85"/>
  <c r="H6" i="85"/>
  <c r="J6" i="85" s="1"/>
  <c r="H9" i="85"/>
  <c r="H8" i="85"/>
  <c r="H10" i="85"/>
  <c r="H11" i="85"/>
  <c r="H12" i="85"/>
  <c r="H7" i="85"/>
  <c r="H13" i="85"/>
  <c r="H14" i="85"/>
  <c r="J14" i="85" s="1"/>
  <c r="H15" i="85"/>
  <c r="J15" i="85" s="1"/>
  <c r="H16" i="85"/>
  <c r="J16" i="85" s="1"/>
  <c r="H17" i="85"/>
  <c r="J17" i="85" s="1"/>
  <c r="H18" i="85"/>
  <c r="H19" i="85"/>
  <c r="H20" i="85"/>
  <c r="H21" i="85"/>
  <c r="H22" i="85"/>
  <c r="H23" i="85"/>
  <c r="H24" i="85"/>
  <c r="H25" i="85"/>
  <c r="H26" i="85"/>
  <c r="H27" i="85"/>
  <c r="H28" i="85"/>
  <c r="H29" i="85"/>
  <c r="H30" i="85"/>
  <c r="H31" i="85"/>
  <c r="H32" i="85"/>
  <c r="H33" i="85"/>
  <c r="H34" i="85"/>
  <c r="H35" i="85"/>
  <c r="H36" i="85"/>
  <c r="H37" i="85"/>
  <c r="H38" i="85"/>
  <c r="H39" i="85"/>
  <c r="H40" i="85"/>
  <c r="H41" i="85"/>
  <c r="H42" i="85"/>
  <c r="H43" i="85"/>
  <c r="H44" i="85"/>
  <c r="H45" i="85"/>
  <c r="H46" i="85"/>
  <c r="H47" i="85"/>
  <c r="H48" i="85"/>
  <c r="H49" i="85"/>
  <c r="H50" i="85"/>
  <c r="H51" i="85"/>
  <c r="H52" i="85"/>
  <c r="H53" i="85"/>
  <c r="H54" i="85"/>
  <c r="H55" i="85"/>
  <c r="H56" i="85"/>
  <c r="H57" i="85"/>
  <c r="H58" i="85"/>
  <c r="H59" i="85"/>
  <c r="H60" i="85"/>
  <c r="H61" i="85"/>
  <c r="H62" i="85"/>
  <c r="H63" i="85"/>
  <c r="H64" i="85"/>
  <c r="H65" i="85"/>
  <c r="H66" i="85"/>
  <c r="H67" i="85"/>
  <c r="H68" i="85"/>
  <c r="H69" i="85"/>
  <c r="H70" i="85"/>
  <c r="H71" i="85"/>
  <c r="H72" i="85"/>
  <c r="H73" i="85"/>
  <c r="H74" i="85"/>
  <c r="H75" i="85"/>
  <c r="H76" i="85"/>
  <c r="H77" i="85"/>
  <c r="H78" i="85"/>
  <c r="H79" i="85"/>
  <c r="H80" i="85"/>
  <c r="H81" i="85"/>
  <c r="H82" i="85"/>
  <c r="H83" i="85"/>
  <c r="H84" i="85"/>
  <c r="H85" i="85"/>
  <c r="H86" i="85"/>
  <c r="H87" i="85"/>
  <c r="H88" i="85"/>
  <c r="H89" i="85"/>
  <c r="H90" i="85"/>
  <c r="H91" i="85"/>
  <c r="H92" i="85"/>
  <c r="H93" i="85"/>
  <c r="H94" i="85"/>
  <c r="H95" i="85"/>
  <c r="H96" i="85"/>
  <c r="H97" i="85"/>
  <c r="H98" i="85"/>
  <c r="H99" i="85"/>
  <c r="H100" i="85"/>
  <c r="H101" i="85"/>
  <c r="H102" i="85"/>
  <c r="H103" i="85"/>
  <c r="H104" i="85"/>
  <c r="H105" i="85"/>
  <c r="H106" i="85"/>
  <c r="H107" i="85"/>
  <c r="H108" i="85"/>
  <c r="H109" i="85"/>
  <c r="H110" i="85"/>
  <c r="H111" i="85"/>
  <c r="H112" i="85"/>
  <c r="H113" i="85"/>
  <c r="H114" i="85"/>
  <c r="H115" i="85"/>
  <c r="H116" i="85"/>
  <c r="J18" i="85"/>
  <c r="J19" i="85"/>
  <c r="J20" i="85"/>
  <c r="J21" i="85"/>
  <c r="J22" i="85"/>
  <c r="J23" i="85"/>
  <c r="J24" i="85"/>
  <c r="J25" i="85"/>
  <c r="J26" i="85"/>
  <c r="J27" i="85"/>
  <c r="J28" i="85"/>
  <c r="J29" i="85"/>
  <c r="J30" i="85"/>
  <c r="J31" i="85"/>
  <c r="J32" i="85"/>
  <c r="J33" i="85"/>
  <c r="J34" i="85"/>
  <c r="J35" i="85"/>
  <c r="J36" i="85"/>
  <c r="J37" i="85"/>
  <c r="J38" i="85"/>
  <c r="J39" i="85"/>
  <c r="J40" i="85"/>
  <c r="J41" i="85"/>
  <c r="J42" i="85"/>
  <c r="J43" i="85"/>
  <c r="J44" i="85"/>
  <c r="J45" i="85"/>
  <c r="J46" i="85"/>
  <c r="J47" i="85"/>
  <c r="J48" i="85"/>
  <c r="J49" i="85"/>
  <c r="J50" i="85"/>
  <c r="J51" i="85"/>
  <c r="J52" i="85"/>
  <c r="J53" i="85"/>
  <c r="J54" i="85"/>
  <c r="J55" i="85"/>
  <c r="J56" i="85"/>
  <c r="J57" i="85"/>
  <c r="J58" i="85"/>
  <c r="J59" i="85"/>
  <c r="J60" i="85"/>
  <c r="J61" i="85"/>
  <c r="J62" i="85"/>
  <c r="J63" i="85"/>
  <c r="J64" i="85"/>
  <c r="J65" i="85"/>
  <c r="J66" i="85"/>
  <c r="J67" i="85"/>
  <c r="J68" i="85"/>
  <c r="J69" i="85"/>
  <c r="J70" i="85"/>
  <c r="J71" i="85"/>
  <c r="J72" i="85"/>
  <c r="J73" i="85"/>
  <c r="J74" i="85"/>
  <c r="J75" i="85"/>
  <c r="J76" i="85"/>
  <c r="J77" i="85"/>
  <c r="J78" i="85"/>
  <c r="J79" i="85"/>
  <c r="J80" i="85"/>
  <c r="J81" i="85"/>
  <c r="J82" i="85"/>
  <c r="J83" i="85"/>
  <c r="J84" i="85"/>
  <c r="J85" i="85"/>
  <c r="J86" i="85"/>
  <c r="J87" i="85"/>
  <c r="J88" i="85"/>
  <c r="J89" i="85"/>
  <c r="J90" i="85"/>
  <c r="J91" i="85"/>
  <c r="J92" i="85"/>
  <c r="J93" i="85"/>
  <c r="J94" i="85"/>
  <c r="J95" i="85"/>
  <c r="J96" i="85"/>
  <c r="J97" i="85"/>
  <c r="J98" i="85"/>
  <c r="J99" i="85"/>
  <c r="J100" i="85"/>
  <c r="J101" i="85"/>
  <c r="J102" i="85"/>
  <c r="J103" i="85"/>
  <c r="J104" i="85"/>
  <c r="J105" i="85"/>
  <c r="J106" i="85"/>
  <c r="J107" i="85"/>
  <c r="J108" i="85"/>
  <c r="J109" i="85"/>
  <c r="J110" i="85"/>
  <c r="J111" i="85"/>
  <c r="J112" i="85"/>
  <c r="J113" i="85"/>
  <c r="J114" i="85"/>
  <c r="J115" i="85"/>
  <c r="J116" i="85"/>
  <c r="J13" i="85"/>
  <c r="K52" i="85"/>
  <c r="G117" i="85"/>
  <c r="K116" i="85"/>
  <c r="B116" i="85"/>
  <c r="K115" i="85"/>
  <c r="B115" i="85"/>
  <c r="K114" i="85"/>
  <c r="B114" i="85"/>
  <c r="K113" i="85"/>
  <c r="B113" i="85"/>
  <c r="K112" i="85"/>
  <c r="B112" i="85"/>
  <c r="K111" i="85"/>
  <c r="B111" i="85"/>
  <c r="K110" i="85"/>
  <c r="B110" i="85"/>
  <c r="K109" i="85"/>
  <c r="B109" i="85"/>
  <c r="K108" i="85"/>
  <c r="B108" i="85"/>
  <c r="K107" i="85"/>
  <c r="B107" i="85"/>
  <c r="K106" i="85"/>
  <c r="B106" i="85"/>
  <c r="K105" i="85"/>
  <c r="B105" i="85"/>
  <c r="K104" i="85"/>
  <c r="B104" i="85"/>
  <c r="K103" i="85"/>
  <c r="B103" i="85"/>
  <c r="K102" i="85"/>
  <c r="B102" i="85"/>
  <c r="K101" i="85"/>
  <c r="B101" i="85"/>
  <c r="K100" i="85"/>
  <c r="B100" i="85"/>
  <c r="K99" i="85"/>
  <c r="B99" i="85"/>
  <c r="K98" i="85"/>
  <c r="B98" i="85"/>
  <c r="K97" i="85"/>
  <c r="B97" i="85"/>
  <c r="K96" i="85"/>
  <c r="B96" i="85"/>
  <c r="B95" i="85"/>
  <c r="B94" i="85"/>
  <c r="B93" i="85"/>
  <c r="B92" i="85"/>
  <c r="B91" i="85"/>
  <c r="B90" i="85"/>
  <c r="B89" i="85"/>
  <c r="B88" i="85"/>
  <c r="B87" i="85"/>
  <c r="B86" i="85"/>
  <c r="B85" i="85"/>
  <c r="B84" i="85"/>
  <c r="B83" i="85"/>
  <c r="B82" i="85"/>
  <c r="B81" i="85"/>
  <c r="B80" i="85"/>
  <c r="B79" i="85"/>
  <c r="B78" i="85"/>
  <c r="B77" i="85"/>
  <c r="B76" i="85"/>
  <c r="B75" i="85"/>
  <c r="B74" i="85"/>
  <c r="B73" i="85"/>
  <c r="B72" i="85"/>
  <c r="B71" i="85"/>
  <c r="B70" i="85"/>
  <c r="B69" i="85"/>
  <c r="B68" i="85"/>
  <c r="B67" i="85"/>
  <c r="B66" i="85"/>
  <c r="B65" i="85"/>
  <c r="B64" i="85"/>
  <c r="B63" i="85"/>
  <c r="B62" i="85"/>
  <c r="B61" i="85"/>
  <c r="B60" i="85"/>
  <c r="B59" i="85"/>
  <c r="B58" i="85"/>
  <c r="B57" i="85"/>
  <c r="B56" i="85"/>
  <c r="B55" i="85"/>
  <c r="B54" i="85"/>
  <c r="B53" i="85"/>
  <c r="B52" i="85"/>
  <c r="B51" i="85"/>
  <c r="B50" i="85"/>
  <c r="B49" i="85"/>
  <c r="B48" i="85"/>
  <c r="B47" i="85"/>
  <c r="B46" i="85"/>
  <c r="B45" i="85"/>
  <c r="B44" i="85"/>
  <c r="B43" i="85"/>
  <c r="B42" i="85"/>
  <c r="K41" i="85"/>
  <c r="B41" i="85"/>
  <c r="B40" i="85"/>
  <c r="B39" i="85"/>
  <c r="B38" i="85"/>
  <c r="B37" i="85"/>
  <c r="B36" i="85"/>
  <c r="B35" i="85"/>
  <c r="B34" i="85"/>
  <c r="B33" i="85"/>
  <c r="B32" i="85"/>
  <c r="B31" i="85"/>
  <c r="B30" i="85"/>
  <c r="B29" i="85"/>
  <c r="B28" i="85"/>
  <c r="B27" i="85"/>
  <c r="B26" i="85"/>
  <c r="B25" i="85"/>
  <c r="B24" i="85"/>
  <c r="B23" i="85"/>
  <c r="B22" i="85"/>
  <c r="B21" i="85"/>
  <c r="B20" i="85"/>
  <c r="B19" i="85"/>
  <c r="B18" i="85"/>
  <c r="B17" i="85"/>
  <c r="B16" i="85"/>
  <c r="B15" i="85"/>
  <c r="B14" i="85"/>
  <c r="B13" i="85"/>
  <c r="B7" i="85"/>
  <c r="B12" i="85"/>
  <c r="B11" i="85"/>
  <c r="B10" i="85"/>
  <c r="B8" i="85"/>
  <c r="B9" i="85"/>
  <c r="B3" i="85"/>
  <c r="B6" i="85"/>
  <c r="B5" i="85"/>
  <c r="B4" i="85"/>
  <c r="G112" i="83"/>
  <c r="J110" i="83"/>
  <c r="J111" i="83"/>
  <c r="I111" i="83"/>
  <c r="I110" i="83"/>
  <c r="I109" i="83"/>
  <c r="I108" i="83"/>
  <c r="J109" i="83" s="1"/>
  <c r="I107" i="83"/>
  <c r="I106" i="83"/>
  <c r="I105" i="83"/>
  <c r="I48" i="83"/>
  <c r="B111" i="83"/>
  <c r="B110" i="83"/>
  <c r="B109" i="83"/>
  <c r="B108" i="83"/>
  <c r="B107" i="83"/>
  <c r="B106" i="83"/>
  <c r="B105" i="83"/>
  <c r="B48" i="83"/>
  <c r="B16" i="83"/>
  <c r="B93" i="83"/>
  <c r="B83" i="83"/>
  <c r="B78" i="83"/>
  <c r="B13" i="83"/>
  <c r="B36" i="83"/>
  <c r="B85" i="83"/>
  <c r="B89" i="83"/>
  <c r="B56" i="83"/>
  <c r="B55" i="83"/>
  <c r="B71" i="83"/>
  <c r="B33" i="83"/>
  <c r="B23" i="83"/>
  <c r="B57" i="83"/>
  <c r="B19" i="83"/>
  <c r="B86" i="83"/>
  <c r="B60" i="83"/>
  <c r="B47" i="83"/>
  <c r="B49" i="83"/>
  <c r="B95" i="83"/>
  <c r="B94" i="83"/>
  <c r="B29" i="83"/>
  <c r="B45" i="83"/>
  <c r="B14" i="83"/>
  <c r="B31" i="83"/>
  <c r="B80" i="83"/>
  <c r="B82" i="83"/>
  <c r="B81" i="83"/>
  <c r="B63" i="83"/>
  <c r="B62" i="83"/>
  <c r="B42" i="83"/>
  <c r="B32" i="83"/>
  <c r="B11" i="83"/>
  <c r="B12" i="83"/>
  <c r="B44" i="83"/>
  <c r="B43" i="83"/>
  <c r="B66" i="83"/>
  <c r="B35" i="83"/>
  <c r="B84" i="83"/>
  <c r="B50" i="83"/>
  <c r="B92" i="83"/>
  <c r="B91" i="83"/>
  <c r="B65" i="83"/>
  <c r="B10" i="83"/>
  <c r="B20" i="83"/>
  <c r="B69" i="83"/>
  <c r="B40" i="83"/>
  <c r="B61" i="83"/>
  <c r="B8" i="83"/>
  <c r="B98" i="83"/>
  <c r="B77" i="83"/>
  <c r="B90" i="83"/>
  <c r="B97" i="83"/>
  <c r="B6" i="83"/>
  <c r="B73" i="83"/>
  <c r="B39" i="83"/>
  <c r="B79" i="83"/>
  <c r="B70" i="83"/>
  <c r="B15" i="83"/>
  <c r="B9" i="83"/>
  <c r="B37" i="83"/>
  <c r="B76" i="83"/>
  <c r="B72" i="83"/>
  <c r="B64" i="83"/>
  <c r="B34" i="83"/>
  <c r="B96" i="83"/>
  <c r="B54" i="83"/>
  <c r="B22" i="83"/>
  <c r="B7" i="83"/>
  <c r="B41" i="83"/>
  <c r="B21" i="83"/>
  <c r="B38" i="83"/>
  <c r="B87" i="83"/>
  <c r="B88" i="83"/>
  <c r="B24" i="83"/>
  <c r="B51" i="83"/>
  <c r="B52" i="83"/>
  <c r="B74" i="83"/>
  <c r="B75" i="83"/>
  <c r="B17" i="83"/>
  <c r="B5" i="83"/>
  <c r="B58" i="83"/>
  <c r="B53" i="83"/>
  <c r="B4" i="83"/>
  <c r="B3" i="83"/>
  <c r="B30" i="83"/>
  <c r="B68" i="83"/>
  <c r="B67" i="83"/>
  <c r="B99" i="83"/>
  <c r="B27" i="83"/>
  <c r="B28" i="83"/>
  <c r="B46" i="83"/>
  <c r="B25" i="83"/>
  <c r="B26" i="83"/>
  <c r="B100" i="83"/>
  <c r="B101" i="83"/>
  <c r="B102" i="83"/>
  <c r="B103" i="83"/>
  <c r="B104" i="83"/>
  <c r="B59" i="83"/>
  <c r="I16" i="83"/>
  <c r="I93" i="83"/>
  <c r="I78" i="83"/>
  <c r="I13" i="83"/>
  <c r="I36" i="83"/>
  <c r="I89" i="83"/>
  <c r="I56" i="83"/>
  <c r="I55" i="83"/>
  <c r="I71" i="83"/>
  <c r="I33" i="83"/>
  <c r="I23" i="83"/>
  <c r="I86" i="83"/>
  <c r="I60" i="83"/>
  <c r="I47" i="83"/>
  <c r="I49" i="83"/>
  <c r="I95" i="83"/>
  <c r="I94" i="83"/>
  <c r="I45" i="83"/>
  <c r="I14" i="83"/>
  <c r="I31" i="83"/>
  <c r="I80" i="83"/>
  <c r="I81" i="83"/>
  <c r="I63" i="83"/>
  <c r="I62" i="83"/>
  <c r="I42" i="83"/>
  <c r="I32" i="83"/>
  <c r="I11" i="83"/>
  <c r="I12" i="83"/>
  <c r="I44" i="83"/>
  <c r="I43" i="83"/>
  <c r="I84" i="83"/>
  <c r="I50" i="83"/>
  <c r="I91" i="83"/>
  <c r="I20" i="83"/>
  <c r="I69" i="83"/>
  <c r="I40" i="83"/>
  <c r="I8" i="83"/>
  <c r="I98" i="83"/>
  <c r="I77" i="83"/>
  <c r="I90" i="83"/>
  <c r="I97" i="83"/>
  <c r="I6" i="83"/>
  <c r="I39" i="83"/>
  <c r="I79" i="83"/>
  <c r="I70" i="83"/>
  <c r="I15" i="83"/>
  <c r="I9" i="83"/>
  <c r="I37" i="83"/>
  <c r="I72" i="83"/>
  <c r="I64" i="83"/>
  <c r="I34" i="83"/>
  <c r="I96" i="83"/>
  <c r="I54" i="83"/>
  <c r="I7" i="83"/>
  <c r="I41" i="83"/>
  <c r="I21" i="83"/>
  <c r="I87" i="83"/>
  <c r="I88" i="83"/>
  <c r="I24" i="83"/>
  <c r="I51" i="83"/>
  <c r="I52" i="83"/>
  <c r="I74" i="83"/>
  <c r="I75" i="83"/>
  <c r="I17" i="83"/>
  <c r="I53" i="83"/>
  <c r="I4" i="83"/>
  <c r="I3" i="83"/>
  <c r="I68" i="83"/>
  <c r="I99" i="83"/>
  <c r="I28" i="83"/>
  <c r="I46" i="83"/>
  <c r="I25" i="83"/>
  <c r="I26" i="83"/>
  <c r="I101" i="83"/>
  <c r="I102" i="83"/>
  <c r="I103" i="83"/>
  <c r="I104" i="83"/>
  <c r="I83" i="83"/>
  <c r="I85" i="83"/>
  <c r="I57" i="83"/>
  <c r="I19" i="83"/>
  <c r="I29" i="83"/>
  <c r="I82" i="83"/>
  <c r="I66" i="83"/>
  <c r="I35" i="83"/>
  <c r="I92" i="83"/>
  <c r="I65" i="83"/>
  <c r="I10" i="83"/>
  <c r="I61" i="83"/>
  <c r="I73" i="83"/>
  <c r="I76" i="83"/>
  <c r="I22" i="83"/>
  <c r="I38" i="83"/>
  <c r="I5" i="83"/>
  <c r="I58" i="83"/>
  <c r="I30" i="83"/>
  <c r="I67" i="83"/>
  <c r="I27" i="83"/>
  <c r="I100" i="83"/>
  <c r="I59" i="83"/>
  <c r="I18" i="83"/>
  <c r="B18" i="83"/>
  <c r="J108" i="83" l="1"/>
  <c r="J106" i="83"/>
  <c r="J105" i="83"/>
  <c r="J107" i="83"/>
  <c r="J5" i="83"/>
  <c r="J65" i="83"/>
  <c r="J57" i="83"/>
  <c r="J66" i="83"/>
  <c r="J32" i="83"/>
  <c r="J3" i="107"/>
  <c r="J4" i="107"/>
  <c r="I112" i="107"/>
  <c r="J3" i="85"/>
  <c r="J11" i="85"/>
  <c r="J7" i="85"/>
  <c r="J12" i="85"/>
  <c r="J8" i="85"/>
  <c r="J9" i="85"/>
  <c r="J5" i="85"/>
  <c r="J4" i="85"/>
  <c r="K5" i="85" s="1"/>
  <c r="I98" i="96"/>
  <c r="J3" i="96"/>
  <c r="K7" i="85"/>
  <c r="J10" i="85"/>
  <c r="J5" i="94"/>
  <c r="J7" i="94"/>
  <c r="I98" i="94"/>
  <c r="J4" i="94"/>
  <c r="J6" i="94"/>
  <c r="J3" i="94"/>
  <c r="J59" i="83"/>
  <c r="K12" i="85"/>
  <c r="K9" i="85"/>
  <c r="K62" i="85"/>
  <c r="K14" i="85"/>
  <c r="K30" i="85"/>
  <c r="K70" i="85"/>
  <c r="K82" i="85"/>
  <c r="K83" i="85"/>
  <c r="K26" i="85"/>
  <c r="K66" i="85"/>
  <c r="K68" i="85"/>
  <c r="K67" i="85"/>
  <c r="K18" i="85"/>
  <c r="K46" i="85"/>
  <c r="K48" i="85"/>
  <c r="K44" i="85"/>
  <c r="K45" i="85"/>
  <c r="K47" i="85"/>
  <c r="K78" i="85"/>
  <c r="K76" i="85"/>
  <c r="K79" i="85"/>
  <c r="K77" i="85"/>
  <c r="K54" i="85"/>
  <c r="K20" i="85"/>
  <c r="K80" i="85"/>
  <c r="K81" i="85"/>
  <c r="K74" i="85"/>
  <c r="K75" i="85"/>
  <c r="K92" i="85"/>
  <c r="K90" i="85"/>
  <c r="K93" i="85"/>
  <c r="K91" i="85"/>
  <c r="K42" i="85"/>
  <c r="K43" i="85"/>
  <c r="K88" i="85"/>
  <c r="K86" i="85"/>
  <c r="K84" i="85"/>
  <c r="K89" i="85"/>
  <c r="K87" i="85"/>
  <c r="K85" i="85"/>
  <c r="K34" i="85"/>
  <c r="K50" i="85"/>
  <c r="K94" i="85"/>
  <c r="K95" i="85"/>
  <c r="K13" i="85"/>
  <c r="K21" i="85"/>
  <c r="K23" i="85"/>
  <c r="K31" i="85"/>
  <c r="K33" i="85"/>
  <c r="K37" i="85"/>
  <c r="K51" i="85"/>
  <c r="K57" i="85"/>
  <c r="K61" i="85"/>
  <c r="K65" i="85"/>
  <c r="K71" i="85"/>
  <c r="K73" i="85"/>
  <c r="K17" i="85"/>
  <c r="K27" i="85"/>
  <c r="K55" i="85"/>
  <c r="K63" i="85"/>
  <c r="K19" i="85"/>
  <c r="K25" i="85"/>
  <c r="K35" i="85"/>
  <c r="K49" i="85"/>
  <c r="K59" i="85"/>
  <c r="K69" i="85"/>
  <c r="K15" i="85"/>
  <c r="K29" i="85"/>
  <c r="K39" i="85"/>
  <c r="K53" i="85"/>
  <c r="K16" i="85"/>
  <c r="K22" i="85"/>
  <c r="K24" i="85"/>
  <c r="K28" i="85"/>
  <c r="K32" i="85"/>
  <c r="K36" i="85"/>
  <c r="K40" i="85"/>
  <c r="K56" i="85"/>
  <c r="K60" i="85"/>
  <c r="K64" i="85"/>
  <c r="K72" i="85"/>
  <c r="K38" i="85"/>
  <c r="K58" i="85"/>
  <c r="I112" i="83"/>
  <c r="J30" i="83"/>
  <c r="J48" i="83"/>
  <c r="J67" i="83"/>
  <c r="J83" i="83"/>
  <c r="J3" i="83"/>
  <c r="J92" i="83"/>
  <c r="J6" i="83"/>
  <c r="J56" i="83"/>
  <c r="J84" i="83"/>
  <c r="J100" i="83"/>
  <c r="J21" i="83"/>
  <c r="J74" i="83"/>
  <c r="J101" i="83"/>
  <c r="J72" i="83"/>
  <c r="J42" i="83"/>
  <c r="J26" i="83"/>
  <c r="J73" i="83"/>
  <c r="J45" i="83"/>
  <c r="J35" i="83"/>
  <c r="J61" i="83"/>
  <c r="J86" i="83"/>
  <c r="J16" i="83"/>
  <c r="J40" i="83"/>
  <c r="J58" i="83"/>
  <c r="J76" i="83"/>
  <c r="J69" i="83"/>
  <c r="J62" i="83"/>
  <c r="J29" i="83"/>
  <c r="J19" i="83"/>
  <c r="J25" i="83"/>
  <c r="J46" i="83"/>
  <c r="J4" i="83"/>
  <c r="J52" i="83"/>
  <c r="J7" i="83"/>
  <c r="J37" i="83"/>
  <c r="J97" i="83"/>
  <c r="J20" i="83"/>
  <c r="J63" i="83"/>
  <c r="J94" i="83"/>
  <c r="J85" i="83"/>
  <c r="J104" i="83"/>
  <c r="J28" i="83"/>
  <c r="J53" i="83"/>
  <c r="J51" i="83"/>
  <c r="J22" i="83"/>
  <c r="J9" i="83"/>
  <c r="J90" i="83"/>
  <c r="J10" i="83"/>
  <c r="J43" i="83"/>
  <c r="J81" i="83"/>
  <c r="J95" i="83"/>
  <c r="J23" i="83"/>
  <c r="J36" i="83"/>
  <c r="J89" i="83"/>
  <c r="J103" i="83"/>
  <c r="J27" i="83"/>
  <c r="J24" i="83"/>
  <c r="J54" i="83"/>
  <c r="J15" i="83"/>
  <c r="J77" i="83"/>
  <c r="J44" i="83"/>
  <c r="J82" i="83"/>
  <c r="J49" i="83"/>
  <c r="J33" i="83"/>
  <c r="J13" i="83"/>
  <c r="J18" i="83"/>
  <c r="J102" i="83"/>
  <c r="J99" i="83"/>
  <c r="J88" i="83"/>
  <c r="J96" i="83"/>
  <c r="J70" i="83"/>
  <c r="J98" i="83"/>
  <c r="J91" i="83"/>
  <c r="J12" i="83"/>
  <c r="J80" i="83"/>
  <c r="J47" i="83"/>
  <c r="J78" i="83"/>
  <c r="J17" i="83"/>
  <c r="J87" i="83"/>
  <c r="J34" i="83"/>
  <c r="J79" i="83"/>
  <c r="J8" i="83"/>
  <c r="J11" i="83"/>
  <c r="J31" i="83"/>
  <c r="J60" i="83"/>
  <c r="J71" i="83"/>
  <c r="J41" i="83"/>
  <c r="J68" i="83"/>
  <c r="J75" i="83"/>
  <c r="J38" i="83"/>
  <c r="J64" i="83"/>
  <c r="J39" i="83"/>
  <c r="J50" i="83"/>
  <c r="J14" i="83"/>
  <c r="J55" i="83"/>
  <c r="J93" i="83"/>
  <c r="K6" i="85" l="1"/>
  <c r="K11" i="85"/>
  <c r="K3" i="85"/>
  <c r="K10" i="85"/>
  <c r="K8" i="85"/>
  <c r="J117" i="85"/>
  <c r="K4" i="85"/>
</calcChain>
</file>

<file path=xl/sharedStrings.xml><?xml version="1.0" encoding="utf-8"?>
<sst xmlns="http://schemas.openxmlformats.org/spreadsheetml/2006/main" count="167" uniqueCount="111">
  <si>
    <t>ADET</t>
  </si>
  <si>
    <t>BİRİM FİYAT</t>
  </si>
  <si>
    <t>TUTAR</t>
  </si>
  <si>
    <t>ZARA</t>
  </si>
  <si>
    <t>ŞERMİN ÖZEL</t>
  </si>
  <si>
    <t>BAHRİYE ATICI</t>
  </si>
  <si>
    <t>NOSTALJİ</t>
  </si>
  <si>
    <t>NECLA AKTAŞ</t>
  </si>
  <si>
    <t>BİRSEN DEMİR</t>
  </si>
  <si>
    <t>NURGÜL KORKMAZ</t>
  </si>
  <si>
    <t>TÜRKAN ÜNAL</t>
  </si>
  <si>
    <t>YASEMİN TÜKENMEZ</t>
  </si>
  <si>
    <t>SAİDE GÜVEN</t>
  </si>
  <si>
    <t>TUĞBA TUNÇ</t>
  </si>
  <si>
    <t>ETİKET</t>
  </si>
  <si>
    <t>NURAY ERDEM</t>
  </si>
  <si>
    <t>GÜLCAN ÇELİKKAYA</t>
  </si>
  <si>
    <t>Adı Soyadı</t>
  </si>
  <si>
    <t>#</t>
  </si>
  <si>
    <t>Cins</t>
  </si>
  <si>
    <t>Ölçü</t>
  </si>
  <si>
    <t>NAGEHAN TOKDEMİR</t>
  </si>
  <si>
    <t>SELMA BOSTANCI</t>
  </si>
  <si>
    <t>NURCAN KARHAN</t>
  </si>
  <si>
    <t>EMİNE MAĞDEN</t>
  </si>
  <si>
    <t>ÜMRAN VURGUN</t>
  </si>
  <si>
    <t>CANSUN YELDEMEZ</t>
  </si>
  <si>
    <t>HATİCE BAYTOK</t>
  </si>
  <si>
    <t>HASİBE ORBAY</t>
  </si>
  <si>
    <t>SEVİLAY KAÇMAZ</t>
  </si>
  <si>
    <t>İLKNUR KAÇMAZ</t>
  </si>
  <si>
    <t>ŞİRİN ÖZTÜRK</t>
  </si>
  <si>
    <t>REYHAN YİĞİT</t>
  </si>
  <si>
    <t>HATİCE KANAT</t>
  </si>
  <si>
    <t>GÜNAY ORBAY</t>
  </si>
  <si>
    <t>HATİCE BİRCAN</t>
  </si>
  <si>
    <t>İSMAİL KAYMAK</t>
  </si>
  <si>
    <t>Birim Fiyatı</t>
  </si>
  <si>
    <t>Q160</t>
  </si>
  <si>
    <t>Q190</t>
  </si>
  <si>
    <t>Toplam</t>
  </si>
  <si>
    <t>Q200</t>
  </si>
  <si>
    <t>TAMİR</t>
  </si>
  <si>
    <t>Ödenecek Toplam</t>
  </si>
  <si>
    <t>AYŞEN ERTAŞ</t>
  </si>
  <si>
    <t>AYŞE DEVKÜR</t>
  </si>
  <si>
    <t>ŞADİYE GÜRÇEŞME</t>
  </si>
  <si>
    <t>EMİNE YILMAZ</t>
  </si>
  <si>
    <t>NAZİF KARATAŞ</t>
  </si>
  <si>
    <t>MADDER</t>
  </si>
  <si>
    <t>TOPLAM (m)</t>
  </si>
  <si>
    <t>Ürün Cinsi</t>
  </si>
  <si>
    <t>RAMAZAN UZUN</t>
  </si>
  <si>
    <t>GÜLAY KIZILKAYA</t>
  </si>
  <si>
    <t>Q120</t>
  </si>
  <si>
    <t>EL OVERLOĞU</t>
  </si>
  <si>
    <t>KARTELA</t>
  </si>
  <si>
    <t>En</t>
  </si>
  <si>
    <t>Boy</t>
  </si>
  <si>
    <t>EMİNE ÖZCAN</t>
  </si>
  <si>
    <t>EMİEN KAYMAK</t>
  </si>
  <si>
    <t>HALİME ŞAHİN</t>
  </si>
  <si>
    <t>KÜÇÜK ETİKET</t>
  </si>
  <si>
    <t>FATMA BAYTOK</t>
  </si>
  <si>
    <t>NURCAN BAYKA</t>
  </si>
  <si>
    <t>ZEYNEP MAMAK</t>
  </si>
  <si>
    <t>ZAİFE AKKURT</t>
  </si>
  <si>
    <t>ÇİĞDEM YİĞİTCE</t>
  </si>
  <si>
    <t>MÜNİSE ASLAN</t>
  </si>
  <si>
    <t>ZD</t>
  </si>
  <si>
    <t>ZELİHA AKARSU</t>
  </si>
  <si>
    <t>NURTEN ÇAKMAK</t>
  </si>
  <si>
    <t>KIYMET KAÇMAZ</t>
  </si>
  <si>
    <t>NERMİN BAŞARAN</t>
  </si>
  <si>
    <t>SELİME ŞAHİN</t>
  </si>
  <si>
    <t>Q130</t>
  </si>
  <si>
    <t>Q150</t>
  </si>
  <si>
    <t>Q140</t>
  </si>
  <si>
    <t>YASEMİN KAZAN</t>
  </si>
  <si>
    <t>Q90</t>
  </si>
  <si>
    <t>20*20</t>
  </si>
  <si>
    <t>30*30</t>
  </si>
  <si>
    <t>40*40</t>
  </si>
  <si>
    <t>45*45</t>
  </si>
  <si>
    <t>Std</t>
  </si>
  <si>
    <t>80*150</t>
  </si>
  <si>
    <t>80*300</t>
  </si>
  <si>
    <t>100*200</t>
  </si>
  <si>
    <t>120*180</t>
  </si>
  <si>
    <t>130*190</t>
  </si>
  <si>
    <t>160*230</t>
  </si>
  <si>
    <t>90*150</t>
  </si>
  <si>
    <t>200*300</t>
  </si>
  <si>
    <t>240*340</t>
  </si>
  <si>
    <t>170*240</t>
  </si>
  <si>
    <t>190*270</t>
  </si>
  <si>
    <t>300*390</t>
  </si>
  <si>
    <t>Q100</t>
  </si>
  <si>
    <t>Q300</t>
  </si>
  <si>
    <t>Q80</t>
  </si>
  <si>
    <t>250*350</t>
  </si>
  <si>
    <t>135*295</t>
  </si>
  <si>
    <t>60*90</t>
  </si>
  <si>
    <t>90*300</t>
  </si>
  <si>
    <t>300*400</t>
  </si>
  <si>
    <t>90*290</t>
  </si>
  <si>
    <t>200*290</t>
  </si>
  <si>
    <t>İşçilik</t>
  </si>
  <si>
    <t>SAÇAK</t>
  </si>
  <si>
    <t>Ücret</t>
  </si>
  <si>
    <t>Fiyat Tablosunda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</si>
</sst>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1F]* #,##0.00_-;\-[$₺-41F]* #,##0.00_-;_-[$₺-41F]* &quot;-&quot;??_-;_-@_-"/>
  </numFmts>
  <fonts count="16" x14ac:knownFonts="1">
    <font>
      <sz val="11"/>
      <color theme="1"/>
      <name val="Calibri"/>
      <family val="2"/>
      <scheme val="minor"/>
    </font>
    <font>
      <sz val="11"/>
      <color theme="1"/>
      <name val="Calibri"/>
      <family val="2"/>
      <charset val="162"/>
      <scheme val="minor"/>
    </font>
    <font>
      <b/>
      <i/>
      <sz val="9"/>
      <color theme="1"/>
      <name val="Calibri"/>
      <family val="2"/>
      <scheme val="minor"/>
    </font>
    <font>
      <sz val="8"/>
      <color theme="1"/>
      <name val="Calibri"/>
      <family val="2"/>
      <scheme val="minor"/>
    </font>
    <font>
      <b/>
      <sz val="8"/>
      <color theme="1"/>
      <name val="Calibri"/>
      <family val="2"/>
      <scheme val="minor"/>
    </font>
    <font>
      <b/>
      <sz val="8"/>
      <color theme="1"/>
      <name val="Calibri"/>
      <family val="2"/>
      <charset val="162"/>
      <scheme val="minor"/>
    </font>
    <font>
      <b/>
      <sz val="10"/>
      <color theme="1"/>
      <name val="Calibri"/>
      <family val="2"/>
      <charset val="162"/>
      <scheme val="minor"/>
    </font>
    <font>
      <b/>
      <sz val="7"/>
      <color theme="1"/>
      <name val="Calibri"/>
      <family val="2"/>
      <charset val="162"/>
      <scheme val="minor"/>
    </font>
    <font>
      <b/>
      <sz val="9"/>
      <color theme="1"/>
      <name val="Calibri"/>
      <family val="2"/>
      <scheme val="minor"/>
    </font>
    <font>
      <sz val="9"/>
      <color theme="1"/>
      <name val="Calibri"/>
      <family val="2"/>
      <scheme val="minor"/>
    </font>
    <font>
      <sz val="12"/>
      <color theme="1"/>
      <name val="Calibri"/>
      <family val="2"/>
      <scheme val="minor"/>
    </font>
    <font>
      <sz val="8"/>
      <color theme="1"/>
      <name val="Calibri"/>
      <scheme val="minor"/>
    </font>
    <font>
      <sz val="9"/>
      <color theme="1"/>
      <name val="Calibri"/>
      <scheme val="minor"/>
    </font>
    <font>
      <sz val="11"/>
      <color rgb="FF383838"/>
      <name val="Arial"/>
      <family val="2"/>
      <charset val="162"/>
    </font>
    <font>
      <sz val="11"/>
      <color rgb="FF383838"/>
      <name val="Calibri"/>
      <family val="2"/>
      <charset val="162"/>
      <scheme val="minor"/>
    </font>
    <font>
      <sz val="12"/>
      <color theme="1"/>
      <name val="Calibri"/>
      <scheme val="minor"/>
    </font>
  </fonts>
  <fills count="2">
    <fill>
      <patternFill patternType="none"/>
    </fill>
    <fill>
      <patternFill patternType="gray125"/>
    </fill>
  </fills>
  <borders count="13">
    <border>
      <left/>
      <right/>
      <top/>
      <bottom/>
      <diagonal/>
    </border>
    <border>
      <left style="thin">
        <color rgb="FF0070C0"/>
      </left>
      <right style="thin">
        <color rgb="FF0070C0"/>
      </right>
      <top style="thin">
        <color rgb="FF0070C0"/>
      </top>
      <bottom style="thin">
        <color rgb="FF0070C0"/>
      </bottom>
      <diagonal/>
    </border>
    <border>
      <left/>
      <right style="thin">
        <color rgb="FF0070C0"/>
      </right>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right style="thin">
        <color rgb="FF0070C0"/>
      </right>
      <top style="thin">
        <color rgb="FF0070C0"/>
      </top>
      <bottom style="thin">
        <color rgb="FF0070C0"/>
      </bottom>
      <diagonal/>
    </border>
    <border>
      <left style="thin">
        <color rgb="FF0070C0"/>
      </left>
      <right/>
      <top style="thin">
        <color rgb="FF0070C0"/>
      </top>
      <bottom style="thin">
        <color rgb="FF0070C0"/>
      </bottom>
      <diagonal/>
    </border>
    <border>
      <left/>
      <right style="thin">
        <color rgb="FF0070C0"/>
      </right>
      <top style="thin">
        <color rgb="FF0070C0"/>
      </top>
      <bottom/>
      <diagonal/>
    </border>
    <border>
      <left style="thin">
        <color rgb="FF0070C0"/>
      </left>
      <right style="thin">
        <color rgb="FF0070C0"/>
      </right>
      <top style="thin">
        <color rgb="FF0070C0"/>
      </top>
      <bottom/>
      <diagonal/>
    </border>
    <border>
      <left style="thin">
        <color rgb="FF0070C0"/>
      </left>
      <right/>
      <top style="thin">
        <color rgb="FF0070C0"/>
      </top>
      <bottom/>
      <diagonal/>
    </border>
    <border>
      <left style="double">
        <color rgb="FF0070C0"/>
      </left>
      <right style="thin">
        <color rgb="FF0070C0"/>
      </right>
      <top style="double">
        <color rgb="FF0070C0"/>
      </top>
      <bottom style="double">
        <color rgb="FF0070C0"/>
      </bottom>
      <diagonal/>
    </border>
    <border>
      <left style="thin">
        <color rgb="FF0070C0"/>
      </left>
      <right style="thin">
        <color rgb="FF0070C0"/>
      </right>
      <top style="double">
        <color rgb="FF0070C0"/>
      </top>
      <bottom style="double">
        <color rgb="FF0070C0"/>
      </bottom>
      <diagonal/>
    </border>
    <border>
      <left style="thin">
        <color rgb="FF0070C0"/>
      </left>
      <right style="double">
        <color rgb="FF0070C0"/>
      </right>
      <top style="double">
        <color rgb="FF0070C0"/>
      </top>
      <bottom style="double">
        <color rgb="FF0070C0"/>
      </bottom>
      <diagonal/>
    </border>
  </borders>
  <cellStyleXfs count="1">
    <xf numFmtId="0" fontId="0" fillId="0" borderId="0"/>
  </cellStyleXfs>
  <cellXfs count="69">
    <xf numFmtId="0" fontId="0" fillId="0" borderId="0" xfId="0"/>
    <xf numFmtId="0" fontId="3" fillId="0" borderId="5" xfId="0" applyFont="1" applyBorder="1" applyAlignment="1">
      <alignment horizontal="center"/>
    </xf>
    <xf numFmtId="164" fontId="3" fillId="0" borderId="6" xfId="0" applyNumberFormat="1" applyFont="1" applyBorder="1" applyAlignment="1">
      <alignment horizontal="center"/>
    </xf>
    <xf numFmtId="0" fontId="3" fillId="0" borderId="0" xfId="0" applyFont="1"/>
    <xf numFmtId="0" fontId="3" fillId="0" borderId="7" xfId="0" applyFont="1" applyBorder="1" applyAlignment="1">
      <alignment horizontal="center"/>
    </xf>
    <xf numFmtId="0" fontId="3" fillId="0" borderId="1" xfId="0" applyFont="1" applyBorder="1" applyAlignment="1" applyProtection="1">
      <alignment horizontal="left"/>
      <protection locked="0"/>
    </xf>
    <xf numFmtId="0" fontId="3" fillId="0" borderId="1" xfId="0" applyFont="1" applyBorder="1" applyAlignment="1" applyProtection="1">
      <alignment horizontal="center"/>
      <protection locked="0"/>
    </xf>
    <xf numFmtId="0" fontId="3" fillId="0" borderId="8" xfId="0" applyFont="1" applyBorder="1" applyAlignment="1" applyProtection="1">
      <alignment horizontal="left"/>
      <protection locked="0"/>
    </xf>
    <xf numFmtId="0" fontId="3" fillId="0" borderId="8" xfId="0" applyFont="1" applyBorder="1" applyAlignment="1" applyProtection="1">
      <alignment horizontal="center"/>
      <protection locked="0"/>
    </xf>
    <xf numFmtId="164" fontId="3" fillId="0" borderId="9" xfId="0" applyNumberFormat="1" applyFont="1" applyBorder="1" applyAlignment="1">
      <alignment horizontal="center"/>
    </xf>
    <xf numFmtId="0" fontId="3" fillId="0" borderId="2" xfId="0" applyFont="1" applyBorder="1" applyAlignment="1">
      <alignment horizontal="center"/>
    </xf>
    <xf numFmtId="0" fontId="3" fillId="0" borderId="3" xfId="0" applyFont="1" applyBorder="1" applyAlignment="1" applyProtection="1">
      <alignment horizontal="left"/>
      <protection locked="0"/>
    </xf>
    <xf numFmtId="0" fontId="3" fillId="0" borderId="3" xfId="0" applyFont="1" applyBorder="1" applyAlignment="1" applyProtection="1">
      <alignment horizontal="center"/>
      <protection locked="0"/>
    </xf>
    <xf numFmtId="164" fontId="3" fillId="0" borderId="4" xfId="0" applyNumberFormat="1" applyFont="1" applyBorder="1" applyAlignment="1">
      <alignment horizontal="center"/>
    </xf>
    <xf numFmtId="0" fontId="2" fillId="0" borderId="12" xfId="0" applyFont="1" applyBorder="1" applyAlignment="1">
      <alignment horizontal="left" vertical="center" wrapText="1"/>
    </xf>
    <xf numFmtId="0" fontId="3" fillId="0" borderId="10" xfId="0" applyFont="1" applyBorder="1" applyAlignment="1">
      <alignment horizontal="center"/>
    </xf>
    <xf numFmtId="0" fontId="3" fillId="0" borderId="11" xfId="0" applyFont="1" applyBorder="1" applyAlignment="1" applyProtection="1">
      <alignment horizontal="left"/>
      <protection locked="0"/>
    </xf>
    <xf numFmtId="0" fontId="3" fillId="0" borderId="11" xfId="0" applyFont="1" applyBorder="1" applyAlignment="1" applyProtection="1">
      <alignment horizontal="center"/>
      <protection locked="0"/>
    </xf>
    <xf numFmtId="0" fontId="8" fillId="0" borderId="10" xfId="0" applyFont="1" applyBorder="1" applyAlignment="1">
      <alignment horizontal="center" vertical="center" wrapText="1"/>
    </xf>
    <xf numFmtId="0" fontId="8" fillId="0" borderId="11" xfId="0" applyFont="1" applyBorder="1" applyAlignment="1">
      <alignment horizontal="left" vertical="center" wrapText="1"/>
    </xf>
    <xf numFmtId="0" fontId="8" fillId="0" borderId="11" xfId="0" applyFont="1" applyBorder="1" applyAlignment="1">
      <alignment horizontal="center" vertical="center" wrapText="1"/>
    </xf>
    <xf numFmtId="0" fontId="9" fillId="0" borderId="10" xfId="0" applyFont="1" applyBorder="1" applyAlignment="1">
      <alignment horizontal="center"/>
    </xf>
    <xf numFmtId="0" fontId="9" fillId="0" borderId="11" xfId="0" applyFont="1" applyBorder="1" applyAlignment="1" applyProtection="1">
      <alignment horizontal="left"/>
      <protection locked="0"/>
    </xf>
    <xf numFmtId="0" fontId="9" fillId="0" borderId="11" xfId="0" applyFont="1" applyBorder="1" applyAlignment="1" applyProtection="1">
      <alignment horizontal="center"/>
      <protection locked="0"/>
    </xf>
    <xf numFmtId="164" fontId="9" fillId="0" borderId="11" xfId="0" applyNumberFormat="1" applyFont="1" applyBorder="1" applyAlignment="1">
      <alignment horizontal="center"/>
    </xf>
    <xf numFmtId="164" fontId="9" fillId="0" borderId="12" xfId="0" applyNumberFormat="1" applyFont="1" applyBorder="1" applyAlignment="1">
      <alignment horizontal="center"/>
    </xf>
    <xf numFmtId="0" fontId="9" fillId="0" borderId="11" xfId="0" applyFont="1" applyBorder="1" applyAlignment="1">
      <alignment horizontal="center"/>
    </xf>
    <xf numFmtId="0" fontId="9" fillId="0" borderId="12" xfId="0" applyFont="1" applyBorder="1"/>
    <xf numFmtId="0" fontId="3" fillId="0" borderId="3" xfId="0" applyFont="1" applyBorder="1" applyAlignment="1">
      <alignment horizontal="center"/>
    </xf>
    <xf numFmtId="0" fontId="3" fillId="0" borderId="1" xfId="0" applyFont="1" applyBorder="1" applyAlignment="1">
      <alignment horizontal="center"/>
    </xf>
    <xf numFmtId="0" fontId="3" fillId="0" borderId="8" xfId="0" applyFont="1" applyBorder="1" applyAlignment="1">
      <alignment horizontal="center"/>
    </xf>
    <xf numFmtId="0" fontId="3" fillId="0" borderId="11" xfId="0" applyFont="1" applyBorder="1" applyAlignment="1" applyProtection="1">
      <alignment horizontal="left" indent="1"/>
      <protection locked="0"/>
    </xf>
    <xf numFmtId="0" fontId="3" fillId="0" borderId="3" xfId="0" applyFont="1" applyBorder="1" applyAlignment="1" applyProtection="1">
      <alignment horizontal="left" indent="1"/>
      <protection locked="0"/>
    </xf>
    <xf numFmtId="0" fontId="3" fillId="0" borderId="1" xfId="0" applyFont="1" applyBorder="1" applyAlignment="1" applyProtection="1">
      <alignment horizontal="left" indent="1"/>
      <protection locked="0"/>
    </xf>
    <xf numFmtId="0" fontId="3" fillId="0" borderId="8" xfId="0" applyFont="1" applyBorder="1" applyAlignment="1" applyProtection="1">
      <alignment horizontal="left" indent="1"/>
      <protection locked="0"/>
    </xf>
    <xf numFmtId="0" fontId="9" fillId="0" borderId="11" xfId="0" applyFont="1" applyBorder="1" applyAlignment="1" applyProtection="1">
      <alignment horizontal="left" indent="1"/>
      <protection locked="0"/>
    </xf>
    <xf numFmtId="0" fontId="0" fillId="0" borderId="0" xfId="0" applyAlignment="1" applyProtection="1">
      <alignment horizontal="left" indent="1"/>
      <protection locked="0"/>
    </xf>
    <xf numFmtId="0" fontId="6" fillId="0" borderId="10" xfId="0" applyFont="1" applyBorder="1" applyAlignment="1" applyProtection="1">
      <alignment horizontal="center" vertical="center" wrapText="1"/>
      <protection locked="0"/>
    </xf>
    <xf numFmtId="0" fontId="6" fillId="0" borderId="11" xfId="0" applyFont="1" applyBorder="1" applyAlignment="1" applyProtection="1">
      <alignment horizontal="left" vertical="center" wrapText="1"/>
      <protection locked="0"/>
    </xf>
    <xf numFmtId="0" fontId="5" fillId="0" borderId="11" xfId="0" applyFont="1" applyBorder="1" applyAlignment="1" applyProtection="1">
      <alignment horizontal="left" vertical="center" wrapText="1"/>
      <protection locked="0"/>
    </xf>
    <xf numFmtId="0" fontId="7" fillId="0" borderId="11" xfId="0" applyFont="1" applyBorder="1" applyAlignment="1" applyProtection="1">
      <alignment horizontal="left" vertical="center" wrapText="1"/>
      <protection locked="0"/>
    </xf>
    <xf numFmtId="0" fontId="5" fillId="0" borderId="11" xfId="0" applyFont="1" applyBorder="1" applyAlignment="1" applyProtection="1">
      <alignment horizontal="center" vertical="center" wrapText="1"/>
      <protection locked="0"/>
    </xf>
    <xf numFmtId="164" fontId="3" fillId="0" borderId="11" xfId="0" applyNumberFormat="1" applyFont="1" applyBorder="1" applyAlignment="1">
      <alignment horizontal="center"/>
    </xf>
    <xf numFmtId="164" fontId="3" fillId="0" borderId="12" xfId="0" applyNumberFormat="1" applyFont="1" applyBorder="1" applyAlignment="1">
      <alignment horizontal="center"/>
    </xf>
    <xf numFmtId="0" fontId="4" fillId="0" borderId="11" xfId="0" applyFont="1" applyBorder="1" applyAlignment="1">
      <alignment horizontal="left" vertical="center" wrapText="1"/>
    </xf>
    <xf numFmtId="164" fontId="3" fillId="0" borderId="3" xfId="0" applyNumberFormat="1" applyFont="1" applyBorder="1" applyAlignment="1">
      <alignment horizontal="center"/>
    </xf>
    <xf numFmtId="164" fontId="3" fillId="0" borderId="1" xfId="0" applyNumberFormat="1" applyFont="1" applyBorder="1" applyAlignment="1">
      <alignment horizontal="center"/>
    </xf>
    <xf numFmtId="164" fontId="3" fillId="0" borderId="8" xfId="0" applyNumberFormat="1" applyFont="1" applyBorder="1" applyAlignment="1">
      <alignment horizontal="center"/>
    </xf>
    <xf numFmtId="0" fontId="0" fillId="0" borderId="12" xfId="0" applyBorder="1"/>
    <xf numFmtId="0" fontId="3" fillId="0" borderId="0" xfId="0" applyFont="1" applyProtection="1">
      <protection locked="0"/>
    </xf>
    <xf numFmtId="0" fontId="5" fillId="0" borderId="11" xfId="0" applyFont="1" applyBorder="1" applyAlignment="1">
      <alignment horizontal="left" vertical="center" wrapText="1"/>
    </xf>
    <xf numFmtId="0" fontId="8" fillId="0" borderId="11" xfId="0" applyFont="1" applyBorder="1" applyAlignment="1" applyProtection="1">
      <alignment horizontal="left" vertical="center" wrapText="1"/>
      <protection locked="0"/>
    </xf>
    <xf numFmtId="0" fontId="8" fillId="0" borderId="11" xfId="0" applyFont="1" applyBorder="1" applyAlignment="1" applyProtection="1">
      <alignment horizontal="center" vertical="center" wrapText="1"/>
      <protection locked="0"/>
    </xf>
    <xf numFmtId="0" fontId="10" fillId="0" borderId="0" xfId="0" applyFont="1"/>
    <xf numFmtId="164" fontId="0" fillId="0" borderId="0" xfId="0" applyNumberFormat="1" applyAlignment="1" applyProtection="1">
      <alignment horizontal="left" indent="1"/>
      <protection locked="0"/>
    </xf>
    <xf numFmtId="0" fontId="0" fillId="0" borderId="0" xfId="0" applyAlignment="1" applyProtection="1">
      <alignment horizontal="right" indent="1"/>
      <protection locked="0"/>
    </xf>
    <xf numFmtId="0" fontId="10" fillId="0" borderId="0" xfId="0" applyFont="1" applyAlignment="1">
      <alignment horizontal="left" indent="1"/>
    </xf>
    <xf numFmtId="0" fontId="0" fillId="0" borderId="0" xfId="0" applyAlignment="1">
      <alignment horizontal="left" indent="1"/>
    </xf>
    <xf numFmtId="0" fontId="10" fillId="0" borderId="0" xfId="0" applyFont="1" applyAlignment="1">
      <alignment horizontal="right" indent="1"/>
    </xf>
    <xf numFmtId="0" fontId="0" fillId="0" borderId="0" xfId="0" applyAlignment="1">
      <alignment horizontal="right" indent="1"/>
    </xf>
    <xf numFmtId="0" fontId="10" fillId="0" borderId="0" xfId="0" applyFont="1" applyAlignment="1">
      <alignment horizontal="left"/>
    </xf>
    <xf numFmtId="0" fontId="0" fillId="0" borderId="0" xfId="0" applyAlignment="1">
      <alignment horizontal="left"/>
    </xf>
    <xf numFmtId="0" fontId="11" fillId="0" borderId="11" xfId="0" applyFont="1" applyBorder="1" applyAlignment="1" applyProtection="1">
      <alignment horizontal="center"/>
      <protection locked="0"/>
    </xf>
    <xf numFmtId="0" fontId="12" fillId="0" borderId="11" xfId="0" applyFont="1" applyBorder="1" applyAlignment="1" applyProtection="1">
      <alignment horizontal="center"/>
      <protection locked="0"/>
    </xf>
    <xf numFmtId="0" fontId="13" fillId="0" borderId="0" xfId="0" applyFont="1" applyAlignment="1">
      <alignment vertical="center" wrapText="1"/>
    </xf>
    <xf numFmtId="0" fontId="1" fillId="0" borderId="0" xfId="0" applyFont="1" applyAlignment="1">
      <alignment horizontal="left" indent="1"/>
    </xf>
    <xf numFmtId="0" fontId="14" fillId="0" borderId="0" xfId="0" applyFont="1" applyAlignment="1">
      <alignment horizontal="left" vertical="center" wrapText="1" indent="1"/>
    </xf>
    <xf numFmtId="0" fontId="15" fillId="0" borderId="0" xfId="0" applyFont="1" applyAlignment="1">
      <alignment horizontal="left" indent="1"/>
    </xf>
    <xf numFmtId="0" fontId="10" fillId="0" borderId="0" xfId="0" applyFont="1" applyAlignment="1">
      <alignment horizontal="center"/>
    </xf>
  </cellXfs>
  <cellStyles count="1">
    <cellStyle name="Normal" xfId="0" builtinId="0"/>
  </cellStyles>
  <dxfs count="143">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numFmt numFmtId="164" formatCode="_-[$₺-41F]* #,##0.00_-;\-[$₺-41F]* #,##0.00_-;_-[$₺-41F]* &quot;-&quot;??_-;_-@_-"/>
      <protection locked="1" hidden="0"/>
    </dxf>
    <dxf>
      <numFmt numFmtId="164" formatCode="_-[$₺-41F]* #,##0.00_-;\-[$₺-41F]* #,##0.00_-;_-[$₺-41F]* &quot;-&quot;??_-;_-@_-"/>
      <protection locked="1" hidden="0"/>
    </dxf>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numFmt numFmtId="164" formatCode="_-[$₺-41F]* #,##0.00_-;\-[$₺-41F]* #,##0.00_-;_-[$₺-41F]* &quot;-&quot;??_-;_-@_-"/>
      <protection locked="1" hidden="0"/>
    </dxf>
    <dxf>
      <font>
        <b val="0"/>
        <i val="0"/>
        <strike val="0"/>
        <condense val="0"/>
        <extend val="0"/>
        <outline val="0"/>
        <shadow val="0"/>
        <u val="none"/>
        <vertAlign val="baseline"/>
        <sz val="9"/>
        <color theme="1"/>
        <name val="Calibri"/>
        <family val="2"/>
        <scheme val="minor"/>
      </font>
      <border diagonalUp="0" diagonalDown="0" outline="0">
        <left style="thin">
          <color rgb="FF0070C0"/>
        </left>
        <right style="double">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9"/>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trike val="0"/>
        <outline val="0"/>
        <shadow val="0"/>
        <u val="none"/>
        <vertAlign val="baseline"/>
        <sz val="8"/>
        <color theme="1"/>
        <name val="Calibri"/>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dxf>
    <dxf>
      <alignment horizontal="left" vertical="bottom" textRotation="0" wrapText="0" relativeIndent="1" justifyLastLine="0" shrinkToFit="0" readingOrder="0"/>
    </dxf>
    <dxf>
      <protection locked="1" hidden="0"/>
    </dxf>
    <dxf>
      <numFmt numFmtId="164" formatCode="_-[$₺-41F]* #,##0.00_-;\-[$₺-41F]* #,##0.00_-;_-[$₺-41F]* &quot;-&quot;??_-;_-@_-"/>
      <protection locked="1" hidden="0"/>
    </dxf>
    <dxf>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protection locked="0" hidden="0"/>
    </dxf>
    <dxf>
      <protection locked="0" hidden="0"/>
    </dxf>
    <dxf>
      <alignment horizontal="left" vertical="bottom" textRotation="0" wrapText="0" relativeIndent="1" justifyLastLine="0" shrinkToFit="0" readingOrder="0"/>
      <protection locked="0" hidden="0"/>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numFmt numFmtId="164" formatCode="_-[$₺-41F]* #,##0.00_-;\-[$₺-41F]* #,##0.00_-;_-[$₺-41F]* &quot;-&quot;??_-;_-@_-"/>
      <protection locked="1" hidden="0"/>
    </dxf>
    <dxf>
      <numFmt numFmtId="164" formatCode="_-[$₺-41F]* #,##0.00_-;\-[$₺-41F]* #,##0.00_-;_-[$₺-41F]* &quot;-&quot;??_-;_-@_-"/>
      <protection locked="1" hidden="0"/>
    </dxf>
    <dxf>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protection locked="0" hidden="0"/>
    </dxf>
    <dxf>
      <protection locked="0" hidden="0"/>
    </dxf>
    <dxf>
      <alignment horizontal="left" vertical="bottom" textRotation="0" wrapText="0" relativeIndent="1" justifyLastLine="0" shrinkToFit="0" readingOrder="0"/>
      <protection locked="0" hidden="0"/>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protection locked="1" hidden="0"/>
    </dxf>
    <dxf>
      <numFmt numFmtId="164" formatCode="_-[$₺-41F]* #,##0.00_-;\-[$₺-41F]* #,##0.00_-;_-[$₺-41F]* &quot;-&quot;??_-;_-@_-"/>
      <protection locked="1" hidden="0"/>
    </dxf>
    <dxf>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protection locked="0" hidden="0"/>
    </dxf>
    <dxf>
      <protection locked="0" hidden="0"/>
    </dxf>
    <dxf>
      <alignment horizontal="left" vertical="bottom" textRotation="0" wrapText="0" relativeIndent="1" justifyLastLine="0" shrinkToFit="0" readingOrder="0"/>
      <protection locked="0" hidden="0"/>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font>
        <strike val="0"/>
        <outline val="0"/>
        <shadow val="0"/>
        <u val="none"/>
        <vertAlign val="baseline"/>
        <sz val="8"/>
        <color theme="1"/>
        <name val="Calibri"/>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top style="thin">
          <color rgb="FF0070C0"/>
        </top>
        <bottom style="thin">
          <color rgb="FF0070C0"/>
        </bottom>
      </border>
    </dxf>
    <dxf>
      <font>
        <strike val="0"/>
        <outline val="0"/>
        <shadow val="0"/>
        <u val="none"/>
        <vertAlign val="baseline"/>
        <sz val="8"/>
        <color theme="1"/>
        <name val="Calibri"/>
        <scheme val="minor"/>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border>
    </dxf>
    <dxf>
      <font>
        <b val="0"/>
        <i val="0"/>
        <strike val="0"/>
        <condense val="0"/>
        <extend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1"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thin">
          <color rgb="FF0070C0"/>
        </left>
        <right style="thin">
          <color rgb="FF0070C0"/>
        </right>
        <top style="thin">
          <color rgb="FF0070C0"/>
        </top>
        <bottom style="thin">
          <color rgb="FF0070C0"/>
        </bottom>
        <vertical style="thin">
          <color rgb="FF0070C0"/>
        </vertical>
        <horizontal style="thin">
          <color rgb="FF0070C0"/>
        </horizontal>
      </border>
      <protection locked="0" hidden="0"/>
    </dxf>
    <dxf>
      <font>
        <strike val="0"/>
        <outline val="0"/>
        <shadow val="0"/>
        <u val="none"/>
        <vertAlign val="baseline"/>
        <sz val="8"/>
        <color theme="1"/>
        <name val="Calibri"/>
        <scheme val="minor"/>
      </font>
      <alignment horizontal="left" vertical="bottom" textRotation="0" wrapText="0" indent="0" justifyLastLine="0" shrinkToFit="0" readingOrder="0"/>
      <border diagonalUp="0" diagonalDown="0">
        <left/>
        <right style="thin">
          <color rgb="FF0070C0"/>
        </right>
        <top style="thin">
          <color rgb="FF0070C0"/>
        </top>
        <bottom style="thin">
          <color rgb="FF0070C0"/>
        </bottom>
      </border>
      <protection locked="0" hidden="0"/>
    </dxf>
    <dxf>
      <font>
        <strike val="0"/>
        <outline val="0"/>
        <shadow val="0"/>
        <u val="none"/>
        <vertAlign val="baseline"/>
        <sz val="8"/>
        <color theme="1"/>
        <name val="Calibri"/>
        <scheme val="minor"/>
      </font>
      <fill>
        <patternFill patternType="none">
          <fgColor indexed="64"/>
          <bgColor indexed="65"/>
        </patternFill>
      </fill>
      <alignment horizontal="left" vertical="bottom" textRotation="0" wrapText="0" relativeIndent="1" justifyLastLine="0" shrinkToFit="0" readingOrder="0"/>
      <border diagonalUp="0" diagonalDown="0">
        <left style="thin">
          <color rgb="FF0070C0"/>
        </left>
        <right style="thin">
          <color rgb="FF0070C0"/>
        </right>
        <top style="thin">
          <color rgb="FF0070C0"/>
        </top>
        <bottom style="thin">
          <color rgb="FF0070C0"/>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right/>
        <top style="thin">
          <color rgb="FF0070C0"/>
        </top>
        <bottom style="thin">
          <color rgb="FF0070C0"/>
        </bottom>
      </border>
    </dxf>
    <dxf>
      <border>
        <top style="double">
          <color rgb="FF0070C0"/>
        </top>
      </border>
    </dxf>
    <dxf>
      <font>
        <strike val="0"/>
        <outline val="0"/>
        <shadow val="0"/>
        <u val="none"/>
        <vertAlign val="baseline"/>
        <sz val="9"/>
        <color rgb="FF000000"/>
        <name val="Calibri"/>
        <scheme val="none"/>
      </font>
      <border diagonalUp="0" diagonalDown="0" outline="0">
        <left style="thin">
          <color rgb="FF0070C0"/>
        </left>
        <right style="thin">
          <color rgb="FF0070C0"/>
        </right>
        <top/>
        <bottom/>
      </border>
    </dxf>
    <dxf>
      <border diagonalUp="0" diagonalDown="0">
        <left style="thin">
          <color rgb="FF0070C0"/>
        </left>
        <right style="thin">
          <color rgb="FF0070C0"/>
        </right>
        <top style="thin">
          <color rgb="FF0070C0"/>
        </top>
        <bottom style="thin">
          <color rgb="FF0070C0"/>
        </bottom>
      </border>
    </dxf>
    <dxf>
      <font>
        <strike val="0"/>
        <outline val="0"/>
        <shadow val="0"/>
        <u val="none"/>
        <vertAlign val="baseline"/>
        <sz val="8"/>
        <color rgb="FF000000"/>
        <name val="Calibri"/>
        <scheme val="none"/>
      </font>
      <alignment horizontal="center" vertical="bottom" textRotation="0" wrapText="0" indent="0" justifyLastLine="0" shrinkToFit="0" readingOrder="0"/>
    </dxf>
    <dxf>
      <border>
        <bottom style="thin">
          <color rgb="FF0070C0"/>
        </bottom>
      </border>
    </dxf>
    <dxf>
      <font>
        <b/>
        <i/>
        <strike val="0"/>
        <condense val="0"/>
        <extend val="0"/>
        <outline val="0"/>
        <shadow val="0"/>
        <u val="none"/>
        <vertAlign val="baseline"/>
        <sz val="9"/>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dxf>
    <dxf>
      <border diagonalUp="0" diagonalDown="0" outline="0">
        <left style="thin">
          <color rgb="FF0070C0"/>
        </left>
        <right style="double">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double">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numFmt numFmtId="164" formatCode="_-[$₺-41F]* #,##0.00_-;\-[$₺-41F]* #,##0.00_-;_-[$₺-41F]* &quot;-&quot;??_-;_-@_-"/>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dxf>
    <dxf>
      <font>
        <sz val="8"/>
      </font>
      <numFmt numFmtId="164" formatCode="_-[$₺-41F]* #,##0.00_-;\-[$₺-41F]* #,##0.00_-;_-[$₺-41F]* &quot;-&quot;??_-;_-@_-"/>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1"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center"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0"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outline="0">
        <left style="thin">
          <color rgb="FF0070C0"/>
        </left>
        <right style="thin">
          <color rgb="FF0070C0"/>
        </right>
        <top style="double">
          <color rgb="FF0070C0"/>
        </top>
        <bottom style="double">
          <color rgb="FF0070C0"/>
        </bottom>
      </border>
      <protection locked="0" hidden="0"/>
    </dxf>
    <dxf>
      <font>
        <sz val="8"/>
      </font>
      <alignment horizontal="left" vertical="bottom" textRotation="0" wrapText="0" indent="1" justifyLastLine="0" shrinkToFit="0" readingOrder="0"/>
      <border diagonalUp="0" diagonalDown="0">
        <left style="thin">
          <color rgb="FF0070C0"/>
        </left>
        <right style="thin">
          <color rgb="FF0070C0"/>
        </right>
        <top style="double">
          <color rgb="FF0070C0"/>
        </top>
        <bottom style="double">
          <color rgb="FF0070C0"/>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double">
          <color rgb="FF0070C0"/>
        </left>
        <right style="thin">
          <color rgb="FF0070C0"/>
        </right>
        <top style="double">
          <color rgb="FF0070C0"/>
        </top>
        <bottom style="double">
          <color rgb="FF0070C0"/>
        </bottom>
      </border>
    </dxf>
    <dxf>
      <font>
        <sz val="8"/>
      </font>
      <alignment horizontal="center" vertical="bottom" textRotation="0" wrapText="0" indent="0" justifyLastLine="0" shrinkToFit="0" readingOrder="0"/>
      <border diagonalUp="0" diagonalDown="0">
        <left style="double">
          <color rgb="FF0070C0"/>
        </left>
        <right style="thin">
          <color rgb="FF0070C0"/>
        </right>
        <top style="double">
          <color rgb="FF0070C0"/>
        </top>
        <bottom style="double">
          <color rgb="FF0070C0"/>
        </bottom>
        <vertical/>
        <horizontal/>
      </border>
    </dxf>
    <dxf>
      <border>
        <top style="double">
          <color rgb="FF0070C0"/>
        </top>
      </border>
    </dxf>
    <dxf>
      <border diagonalUp="0" diagonalDown="0">
        <left style="thin">
          <color rgb="FF0070C0"/>
        </left>
        <right style="thin">
          <color rgb="FF0070C0"/>
        </right>
        <top/>
        <bottom/>
        <vertical style="thin">
          <color rgb="FF0070C0"/>
        </vertical>
        <horizontal style="double">
          <color rgb="FF0070C0"/>
        </horizontal>
      </border>
    </dxf>
    <dxf>
      <border diagonalUp="0" diagonalDown="0">
        <left style="thin">
          <color rgb="FF0070C0"/>
        </left>
        <right style="thin">
          <color rgb="FF0070C0"/>
        </right>
        <top style="thin">
          <color rgb="FF0070C0"/>
        </top>
        <bottom style="thin">
          <color rgb="FF0070C0"/>
        </bottom>
      </border>
    </dxf>
    <dxf>
      <border>
        <bottom style="thin">
          <color rgb="FF0070C0"/>
        </bottom>
      </border>
    </dxf>
    <dxf>
      <font>
        <b/>
        <i/>
        <strike val="0"/>
        <condense val="0"/>
        <extend val="0"/>
        <outline val="0"/>
        <shadow val="0"/>
        <u val="none"/>
        <vertAlign val="baseline"/>
        <sz val="9"/>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70C0"/>
        </left>
        <right style="thin">
          <color rgb="FF0070C0"/>
        </right>
        <top/>
        <bottom/>
        <vertical style="thin">
          <color rgb="FF0070C0"/>
        </vertical>
        <horizontal style="thin">
          <color rgb="FF0070C0"/>
        </horizontal>
      </border>
      <protection locked="0" hidden="0"/>
    </dxf>
    <dxf>
      <font>
        <strike val="0"/>
        <outline val="0"/>
        <shadow val="0"/>
        <u val="none"/>
        <vertAlign val="baseline"/>
        <sz val="11"/>
        <name val="Calibri"/>
        <family val="2"/>
        <charset val="162"/>
        <scheme val="minor"/>
      </font>
      <alignment horizontal="left" textRotation="0" relativeIndent="1" justifyLastLine="0" shrinkToFit="0" readingOrder="0"/>
    </dxf>
    <dxf>
      <numFmt numFmtId="0" formatCode="General"/>
      <alignment horizontal="right" vertical="bottom" textRotation="0" wrapText="0" indent="1" justifyLastLine="0" shrinkToFit="0" readingOrder="0"/>
    </dxf>
    <dxf>
      <alignment horizontal="left" textRotation="0" relativeIndent="1" justifyLastLine="0" shrinkToFit="0" readingOrder="0"/>
    </dxf>
    <dxf>
      <alignment horizontal="left" textRotation="0" relativeIndent="1" justifyLastLine="0" shrinkToFit="0" readingOrder="0"/>
    </dxf>
    <dxf>
      <numFmt numFmtId="164" formatCode="_-[$₺-41F]* #,##0.00_-;\-[$₺-41F]* #,##0.00_-;_-[$₺-41F]* &quot;-&quot;??_-;_-@_-"/>
      <alignment horizontal="left" vertical="bottom" textRotation="0" wrapText="0" relativeIndent="1" justifyLastLine="0" shrinkToFit="0" readingOrder="0"/>
      <protection locked="0" hidden="0"/>
    </dxf>
    <dxf>
      <alignment horizontal="righ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font>
        <strike val="0"/>
        <outline val="0"/>
        <shadow val="0"/>
        <u val="none"/>
        <vertAlign val="baseline"/>
        <sz val="12"/>
        <color theme="1"/>
        <name val="Calibri"/>
        <scheme val="minor"/>
      </font>
    </dxf>
    <dxf>
      <alignment horizontal="right" vertical="bottom" textRotation="0" wrapText="0" indent="1" justifyLastLine="0" shrinkToFit="0" readingOrder="0"/>
    </dxf>
    <dxf>
      <alignment horizontal="right" vertical="bottom" textRotation="0" wrapText="0" indent="1" justifyLastLine="0" shrinkToFit="0" readingOrder="0"/>
    </dxf>
    <dxf>
      <numFmt numFmtId="0" formatCode="General"/>
      <alignment horizontal="right" vertical="bottom" textRotation="0" wrapText="0" indent="1" justifyLastLine="0" shrinkToFit="0" readingOrder="0"/>
    </dxf>
    <dxf>
      <alignment horizontal="right" vertical="bottom" textRotation="0" wrapText="0" indent="1" justifyLastLine="0" shrinkToFit="0" readingOrder="0"/>
    </dxf>
    <dxf>
      <font>
        <strike val="0"/>
        <outline val="0"/>
        <shadow val="0"/>
        <u val="none"/>
        <vertAlign val="baseline"/>
        <sz val="12"/>
        <color theme="1"/>
        <name val="Calibri"/>
        <scheme val="minor"/>
      </font>
      <fill>
        <patternFill patternType="none">
          <fgColor indexed="64"/>
          <bgColor auto="1"/>
        </patternFill>
      </fill>
      <alignment horizontal="right" vertical="bottom" textRotation="0" wrapText="0" indent="1" justifyLastLine="0" shrinkToFit="0" readingOrder="0"/>
    </dxf>
    <dxf>
      <alignment horizontal="lef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alignment horizontal="left" vertical="bottom" textRotation="0" wrapText="0" relativeIndent="1" justifyLastLine="0" shrinkToFit="0" readingOrder="0"/>
    </dxf>
    <dxf>
      <font>
        <strike val="0"/>
        <outline val="0"/>
        <shadow val="0"/>
        <u val="none"/>
        <vertAlign val="baseline"/>
        <sz val="12"/>
        <color theme="1"/>
        <name val="Calibri"/>
        <scheme val="minor"/>
      </font>
      <alignment horizontal="left" vertical="bottom" textRotation="0" wrapText="0" relativeIndent="1" justifyLastLine="0" shrinkToFit="0" readingOrder="0"/>
    </dxf>
    <dxf>
      <alignment horizontal="lef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font>
        <strike val="0"/>
        <outline val="0"/>
        <shadow val="0"/>
        <u val="none"/>
        <vertAlign val="baseline"/>
        <sz val="12"/>
        <color theme="1"/>
        <name val="Calibri"/>
        <scheme val="minor"/>
      </font>
    </dxf>
    <dxf>
      <alignment horizontal="left" vertical="bottom" textRotation="0" wrapText="0" relativeIndent="-1" justifyLastLine="0" shrinkToFit="0" readingOrder="0"/>
      <protection locked="0" hidden="0"/>
    </dxf>
    <dxf>
      <numFmt numFmtId="0" formatCode="General"/>
      <alignment horizontal="right" vertical="bottom" textRotation="0" wrapText="0" indent="1" justifyLastLine="0" shrinkToFit="0" readingOrder="0"/>
    </dxf>
    <dxf>
      <alignment horizontal="left" vertical="bottom" textRotation="0" wrapText="0" relativeIndent="1" justifyLastLine="0" shrinkToFit="0" readingOrder="0"/>
    </dxf>
    <dxf>
      <font>
        <strike val="0"/>
        <outline val="0"/>
        <shadow val="0"/>
        <u val="none"/>
        <vertAlign val="baseline"/>
        <sz val="12"/>
        <color theme="1"/>
        <name val="Calibri"/>
        <scheme val="minor"/>
      </font>
      <alignment horizontal="left" vertical="bottom" textRotation="0" wrapText="0" relativeIndent="1"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drawings/drawing1.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373380</xdr:colOff>
      <xdr:row>0</xdr:row>
      <xdr:rowOff>1097280</xdr:rowOff>
    </xdr:to>
    <mc:AlternateContent xmlns:mc="http://schemas.openxmlformats.org/markup-compatibility/2006" xmlns:sle15="http://schemas.microsoft.com/office/drawing/2012/slicer">
      <mc:Choice Requires="sle15">
        <xdr:graphicFrame macro="">
          <xdr:nvGraphicFramePr>
            <xdr:cNvPr id="9" name="Adı Soyadı">
              <a:extLst>
                <a:ext uri="{FF2B5EF4-FFF2-40B4-BE49-F238E27FC236}">
                  <a16:creationId xmlns:a16="http://schemas.microsoft.com/office/drawing/2014/main" id="{79A758C3-312A-4AF4-9441-E52A9288628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8A012946-2096-4C8E-9095-B52F00781E9C}"/>
            </a:ext>
          </a:extLst>
        </xdr:cNvPr>
        <xdr:cNvSpPr/>
      </xdr:nvSpPr>
      <xdr:spPr>
        <a:xfrm>
          <a:off x="496824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10</xdr:col>
      <xdr:colOff>251460</xdr:colOff>
      <xdr:row>0</xdr:row>
      <xdr:rowOff>838200</xdr:rowOff>
    </xdr:to>
    <mc:AlternateContent xmlns:mc="http://schemas.openxmlformats.org/markup-compatibility/2006" xmlns:sle15="http://schemas.microsoft.com/office/drawing/2012/slicer">
      <mc:Choice Requires="sle15">
        <xdr:graphicFrame macro="">
          <xdr:nvGraphicFramePr>
            <xdr:cNvPr id="2" name="Adı Soyadı 1">
              <a:extLst>
                <a:ext uri="{FF2B5EF4-FFF2-40B4-BE49-F238E27FC236}">
                  <a16:creationId xmlns:a16="http://schemas.microsoft.com/office/drawing/2014/main" id="{512BB69E-4A0C-4A7A-9CEC-8127AAF5C78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1"/>
            </a:graphicData>
          </a:graphic>
        </xdr:graphicFrame>
      </mc:Choice>
      <mc:Fallback xmlns="">
        <xdr:sp macro="" textlink="">
          <xdr:nvSpPr>
            <xdr:cNvPr id="0" name=""/>
            <xdr:cNvSpPr>
              <a:spLocks noTextEdit="1"/>
            </xdr:cNvSpPr>
          </xdr:nvSpPr>
          <xdr:spPr>
            <a:xfrm>
              <a:off x="205745" y="68580"/>
              <a:ext cx="6316975" cy="83058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xdr:twoCellAnchor>
  <xdr:twoCellAnchor>
    <xdr:from>
      <xdr:col>12</xdr:col>
      <xdr:colOff>22860</xdr:colOff>
      <xdr:row>1</xdr:row>
      <xdr:rowOff>45720</xdr:rowOff>
    </xdr:from>
    <xdr:to>
      <xdr:col>15</xdr:col>
      <xdr:colOff>144780</xdr:colOff>
      <xdr:row>1</xdr:row>
      <xdr:rowOff>297180</xdr:rowOff>
    </xdr:to>
    <xdr:sp macro="[0]!VerileriPrintSayfasinaAktarV1" textlink="">
      <xdr:nvSpPr>
        <xdr:cNvPr id="4" name="Dikdörtgen: Köşeleri Yuvarlatılmış 3">
          <a:extLst>
            <a:ext uri="{FF2B5EF4-FFF2-40B4-BE49-F238E27FC236}">
              <a16:creationId xmlns:a16="http://schemas.microsoft.com/office/drawing/2014/main" id="{DA9CA472-6277-44FC-A9CC-B69245B40B2C}"/>
            </a:ext>
          </a:extLst>
        </xdr:cNvPr>
        <xdr:cNvSpPr/>
      </xdr:nvSpPr>
      <xdr:spPr>
        <a:xfrm>
          <a:off x="7345680" y="982980"/>
          <a:ext cx="1950720" cy="25146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PRİNT2 İÇİN AKTAR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693420</xdr:rowOff>
    </xdr:to>
    <mc:AlternateContent xmlns:mc="http://schemas.openxmlformats.org/markup-compatibility/2006" xmlns:sle15="http://schemas.microsoft.com/office/drawing/2012/slicer">
      <mc:Choice Requires="sle15">
        <xdr:graphicFrame macro="">
          <xdr:nvGraphicFramePr>
            <xdr:cNvPr id="2" name="Adı Soyadı 2">
              <a:extLst>
                <a:ext uri="{FF2B5EF4-FFF2-40B4-BE49-F238E27FC236}">
                  <a16:creationId xmlns:a16="http://schemas.microsoft.com/office/drawing/2014/main" id="{09C7C29D-57BD-4D71-809A-87783BB43CF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2"/>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928D85-0E77-44BC-AF23-72BF02593389}"/>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22</xdr:col>
      <xdr:colOff>480060</xdr:colOff>
      <xdr:row>0</xdr:row>
      <xdr:rowOff>640080</xdr:rowOff>
    </xdr:to>
    <mc:AlternateContent xmlns:mc="http://schemas.openxmlformats.org/markup-compatibility/2006" xmlns:sle15="http://schemas.microsoft.com/office/drawing/2012/slicer">
      <mc:Choice Requires="sle15">
        <xdr:graphicFrame macro="">
          <xdr:nvGraphicFramePr>
            <xdr:cNvPr id="2" name="Adı Soyadı 4">
              <a:extLst>
                <a:ext uri="{FF2B5EF4-FFF2-40B4-BE49-F238E27FC236}">
                  <a16:creationId xmlns:a16="http://schemas.microsoft.com/office/drawing/2014/main" id="{6FA89BA6-A0AA-4668-9AA5-7E0FA9FBA6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4"/>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1" textlink="">
      <xdr:nvSpPr>
        <xdr:cNvPr id="3" name="Dikdörtgen: Köşeleri Yuvarlatılmış 2">
          <a:extLst>
            <a:ext uri="{FF2B5EF4-FFF2-40B4-BE49-F238E27FC236}">
              <a16:creationId xmlns:a16="http://schemas.microsoft.com/office/drawing/2014/main" id="{C5C81238-4426-470F-875A-05BE23C79368}"/>
            </a:ext>
          </a:extLst>
        </xdr:cNvPr>
        <xdr:cNvSpPr/>
      </xdr:nvSpPr>
      <xdr:spPr>
        <a:xfrm>
          <a:off x="541782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22865</xdr:colOff>
      <xdr:row>0</xdr:row>
      <xdr:rowOff>68580</xdr:rowOff>
    </xdr:from>
    <xdr:to>
      <xdr:col>23</xdr:col>
      <xdr:colOff>160020</xdr:colOff>
      <xdr:row>0</xdr:row>
      <xdr:rowOff>678180</xdr:rowOff>
    </xdr:to>
    <mc:AlternateContent xmlns:mc="http://schemas.openxmlformats.org/markup-compatibility/2006" xmlns:sle15="http://schemas.microsoft.com/office/drawing/2012/slicer">
      <mc:Choice Requires="sle15">
        <xdr:graphicFrame macro="">
          <xdr:nvGraphicFramePr>
            <xdr:cNvPr id="2" name="Adı Soyadı 3">
              <a:extLst>
                <a:ext uri="{FF2B5EF4-FFF2-40B4-BE49-F238E27FC236}">
                  <a16:creationId xmlns:a16="http://schemas.microsoft.com/office/drawing/2014/main" id="{97FE43C7-57EE-49CC-B50D-DAEC4DA5A18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dı Soyadı 3"/>
            </a:graphicData>
          </a:graphic>
        </xdr:graphicFrame>
      </mc:Choice>
      <mc:Fallback xmlns="">
        <xdr:sp macro="" textlink="">
          <xdr:nvSpPr>
            <xdr:cNvPr id="0" name=""/>
            <xdr:cNvSpPr>
              <a:spLocks noTextEdit="1"/>
            </xdr:cNvSpPr>
          </xdr:nvSpPr>
          <xdr:spPr>
            <a:xfrm>
              <a:off x="205745" y="68580"/>
              <a:ext cx="13243555" cy="1028700"/>
            </a:xfrm>
            <a:prstGeom prst="rect">
              <a:avLst/>
            </a:prstGeom>
            <a:solidFill>
              <a:prstClr val="white"/>
            </a:solidFill>
            <a:ln w="1">
              <a:solidFill>
                <a:prstClr val="green"/>
              </a:solidFill>
            </a:ln>
          </xdr:spPr>
          <xdr:txBody>
            <a:bodyPr vertOverflow="clip" horzOverflow="clip"/>
            <a:lstStyle/>
            <a:p>
              <a:r>
                <a:rPr lang="tr-TR" sz="1100"/>
                <a:t>Bu şekil bir tablo dilimleyicisini temsil eder. Tablo dilimleyicileri bu Excel sürümünde desteklenmez.
Şekil eski bir Excel sürümünde değiştirildiyse ya da çalışma kitabı Excel 2007 veya önceki bir sürümde kaydedildiyse dilimleyici kullanılamaz.</a:t>
              </a:r>
            </a:p>
          </xdr:txBody>
        </xdr:sp>
      </mc:Fallback>
    </mc:AlternateContent>
    <xdr:clientData fLocksWithSheet="0"/>
  </xdr:twoCellAnchor>
  <xdr:twoCellAnchor>
    <xdr:from>
      <xdr:col>11</xdr:col>
      <xdr:colOff>38100</xdr:colOff>
      <xdr:row>1</xdr:row>
      <xdr:rowOff>15240</xdr:rowOff>
    </xdr:from>
    <xdr:to>
      <xdr:col>14</xdr:col>
      <xdr:colOff>68580</xdr:colOff>
      <xdr:row>1</xdr:row>
      <xdr:rowOff>297180</xdr:rowOff>
    </xdr:to>
    <xdr:sp macro="[0]!VerileriPrintSayfasinaAktarV2" textlink="">
      <xdr:nvSpPr>
        <xdr:cNvPr id="3" name="Dikdörtgen: Köşeleri Yuvarlatılmış 2">
          <a:extLst>
            <a:ext uri="{FF2B5EF4-FFF2-40B4-BE49-F238E27FC236}">
              <a16:creationId xmlns:a16="http://schemas.microsoft.com/office/drawing/2014/main" id="{04C4FD80-E7CD-458A-B443-E3DA6B552F45}"/>
            </a:ext>
          </a:extLst>
        </xdr:cNvPr>
        <xdr:cNvSpPr/>
      </xdr:nvSpPr>
      <xdr:spPr>
        <a:xfrm>
          <a:off x="6012180" y="1165860"/>
          <a:ext cx="1859280" cy="281940"/>
        </a:xfrm>
        <a:prstGeom prst="roundRect">
          <a:avLst/>
        </a:prstGeom>
        <a:solidFill>
          <a:srgbClr val="7030A0"/>
        </a:solidFill>
        <a:ln>
          <a:noFill/>
        </a:ln>
        <a:effectLst>
          <a:outerShdw blurRad="40005" dist="22860" dir="5400000" algn="ctr" rotWithShape="0">
            <a:srgbClr val="000000">
              <a:alpha val="35000"/>
            </a:srgbClr>
          </a:outerShdw>
        </a:effectLst>
        <a:scene3d>
          <a:camera prst="orthographicFront"/>
          <a:lightRig rig="threePt" dir="t"/>
        </a:scene3d>
        <a:sp3d>
          <a:bevelT w="63500" h="254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t>VERİLERİ PRİNT İÇİN AKTAR</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 xr10:uid="{00000000-0013-0000-FFFF-FFFF01000000}" sourceName="Adı Soyadı">
  <extLst>
    <x:ext xmlns:x15="http://schemas.microsoft.com/office/spreadsheetml/2010/11/main" uri="{2F2917AC-EB37-4324-AD4E-5DD8C200BD13}">
      <x15:tableSlicerCache tableId="4" column="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1" xr10:uid="{00000000-0013-0000-FFFF-FFFF02000000}" sourceName="Adı Soyadı">
  <extLst>
    <x:ext xmlns:x15="http://schemas.microsoft.com/office/spreadsheetml/2010/11/main" uri="{2F2917AC-EB37-4324-AD4E-5DD8C200BD13}">
      <x15:tableSlicerCache tableId="5" column="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 xr10:uid="{00000000-0013-0000-FFFF-FFFF03000000}" sourceName="Adı Soyadı">
  <extLst>
    <x:ext xmlns:x15="http://schemas.microsoft.com/office/spreadsheetml/2010/11/main" uri="{2F2917AC-EB37-4324-AD4E-5DD8C200BD13}">
      <x15:tableSlicerCache tableId="7" column="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21" xr10:uid="{00000000-0013-0000-FFFF-FFFF04000000}" sourceName="Adı Soyadı">
  <extLst>
    <x:ext xmlns:x15="http://schemas.microsoft.com/office/spreadsheetml/2010/11/main" uri="{2F2917AC-EB37-4324-AD4E-5DD8C200BD13}">
      <x15:tableSlicerCache tableId="10" column="7"/>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ilimleyici_Adı_Soyadı3" xr10:uid="{00000000-0013-0000-FFFF-FFFF05000000}" sourceName="Adı Soyadı">
  <extLst>
    <x:ext xmlns:x15="http://schemas.microsoft.com/office/spreadsheetml/2010/11/main" uri="{2F2917AC-EB37-4324-AD4E-5DD8C200BD13}">
      <x15:tableSlicerCache tableId="12"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xr10:uid="{00000000-0014-0000-FFFF-FFFF02000000}" cache="Dilimleyici_Adı_Soyadı" caption="Adı Soyadı" columnCount="9" rowHeight="18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1" xr10:uid="{00000000-0014-0000-FFFF-FFFF03000000}" cache="Dilimleyici_Adı_Soyadı1" caption="Adı Soyadı" columnCount="4" rowHeight="180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2" xr10:uid="{00000000-0014-0000-FFFF-FFFF04000000}" cache="Dilimleyici_Adı_Soyadı2" caption="Adı Soyadı" columnCount="9" rowHeight="18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4" xr10:uid="{00000000-0014-0000-FFFF-FFFF05000000}" cache="Dilimleyici_Adı_Soyadı3" caption="Adı Soyadı" columnCount="9" rowHeight="1800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ı Soyadı 3" xr10:uid="{00000000-0014-0000-FFFF-FFFF01000000}" cache="Dilimleyici_Adı_Soyadı21" caption="Adı Soyadı" columnCount="9"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Personel" displayName="Personel" ref="A1:B59" totalsRowShown="0" headerRowDxfId="138">
  <autoFilter ref="A1:B59" xr:uid="{00000000-0009-0000-0100-000006000000}"/>
  <sortState xmlns:xlrd2="http://schemas.microsoft.com/office/spreadsheetml/2017/richdata2" ref="A2:B59">
    <sortCondition ref="B1:B59"/>
  </sortState>
  <tableColumns count="2">
    <tableColumn id="1" xr3:uid="{00000000-0010-0000-0000-000001000000}" name="#" dataDxfId="137">
      <calculatedColumnFormula>IF(ISBLANK(B2),"",SUBTOTAL(3, $B$2:B2))</calculatedColumnFormula>
    </tableColumn>
    <tableColumn id="2" xr3:uid="{00000000-0010-0000-0000-000002000000}" name="Adı Soyadı" dataDxfId="13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Cins" displayName="Cins" ref="A1:B14" totalsRowShown="0" headerRowDxfId="135" dataDxfId="134">
  <autoFilter ref="A1:B14" xr:uid="{00000000-0009-0000-0100-000009000000}"/>
  <sortState xmlns:xlrd2="http://schemas.microsoft.com/office/spreadsheetml/2017/richdata2" ref="A2:B14">
    <sortCondition ref="B1:B14"/>
  </sortState>
  <tableColumns count="2">
    <tableColumn id="1" xr3:uid="{00000000-0010-0000-0100-000001000000}" name="#" dataDxfId="133">
      <calculatedColumnFormula>IF(ISBLANK(B2),"",SUBTOTAL(3, $B$2:B2))</calculatedColumnFormula>
    </tableColumn>
    <tableColumn id="2" xr3:uid="{00000000-0010-0000-0100-000002000000}" name="Cins" dataDxfId="13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7E33BA-0CBB-434B-AFAC-D38CA4E2A42D}" name="İşçilik" displayName="İşçilik" ref="A1:C9" totalsRowShown="0" headerRowDxfId="142" dataDxfId="141">
  <autoFilter ref="A1:C9" xr:uid="{2F7E33BA-0CBB-434B-AFAC-D38CA4E2A42D}"/>
  <sortState xmlns:xlrd2="http://schemas.microsoft.com/office/spreadsheetml/2017/richdata2" ref="A2:B9">
    <sortCondition ref="B1:B9"/>
  </sortState>
  <tableColumns count="3">
    <tableColumn id="1" xr3:uid="{954DD21B-D8FC-48C8-8FD0-3ACE1AB996DC}" name="#" dataDxfId="140">
      <calculatedColumnFormula>IF(ISBLANK(B2),"",SUBTOTAL(3, $B$2:B2))</calculatedColumnFormula>
    </tableColumn>
    <tableColumn id="2" xr3:uid="{83EA5781-0BEE-4DA3-9B71-BBAB5B5FF554}" name="İşçilik" dataDxfId="139"/>
    <tableColumn id="3" xr3:uid="{E92E06D1-FF4D-4E59-B50F-69351358E633}" name="Ücret"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2000000}" name="Ölçü" displayName="Ölçü" ref="A1:C26" totalsRowShown="0" headerRowDxfId="131" dataDxfId="130">
  <autoFilter ref="A1:C26" xr:uid="{00000000-0009-0000-0100-00000D000000}"/>
  <sortState xmlns:xlrd2="http://schemas.microsoft.com/office/spreadsheetml/2017/richdata2" ref="A2:C26">
    <sortCondition ref="B1:B26"/>
  </sortState>
  <tableColumns count="3">
    <tableColumn id="3" xr3:uid="{00000000-0010-0000-0200-000003000000}" name="#" dataDxfId="129">
      <calculatedColumnFormula>IF(ISBLANK(B2),"",SUBTOTAL(3, $B$2:B2))</calculatedColumnFormula>
    </tableColumn>
    <tableColumn id="1" xr3:uid="{00000000-0010-0000-0200-000001000000}" name="En" dataDxfId="128"/>
    <tableColumn id="2" xr3:uid="{00000000-0010-0000-0200-000002000000}" name="Boy" dataDxfId="1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3000000}" name="Fiyat" displayName="Fiyat" ref="A1:C35" totalsRowShown="0" headerRowDxfId="126">
  <autoFilter ref="A1:C35" xr:uid="{00000000-0009-0000-0100-00000B000000}"/>
  <sortState xmlns:xlrd2="http://schemas.microsoft.com/office/spreadsheetml/2017/richdata2" ref="A2:C35">
    <sortCondition ref="B1:B35"/>
  </sortState>
  <tableColumns count="3">
    <tableColumn id="1" xr3:uid="{00000000-0010-0000-0300-000001000000}" name="#" dataDxfId="125">
      <calculatedColumnFormula>IF(ISBLANK(B2),"",SUBTOTAL(3, $B$2:B2))</calculatedColumnFormula>
    </tableColumn>
    <tableColumn id="2" xr3:uid="{00000000-0010-0000-0300-000002000000}" name="Ölçü" dataDxfId="124"/>
    <tableColumn id="3" xr3:uid="{00000000-0010-0000-0300-000003000000}" name="Birim Fiyatı" dataDxfId="12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F49E47-81A5-4868-A967-0D58575E418C}" name="Standart" displayName="Standart" ref="A1:B35" totalsRowShown="0" headerRowDxfId="122" dataDxfId="121">
  <autoFilter ref="A1:B35" xr:uid="{81F49E47-81A5-4868-A967-0D58575E418C}"/>
  <sortState xmlns:xlrd2="http://schemas.microsoft.com/office/spreadsheetml/2017/richdata2" ref="A2:B35">
    <sortCondition ref="B1:B36"/>
  </sortState>
  <tableColumns count="2">
    <tableColumn id="1" xr3:uid="{8FC6C0B9-BADC-4BD9-A6BE-4CBBCB9AF876}" name="#" dataDxfId="120">
      <calculatedColumnFormula>IF(ISBLANK(B2),"",SUBTOTAL(3, $B$2:B2))</calculatedColumnFormula>
    </tableColumn>
    <tableColumn id="2" xr3:uid="{3AC2CD4C-2C07-467B-BDA3-0B82FB5E74D6}" name="Std" dataDxfId="119"/>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Sacak" displayName="Sacak" ref="B2:J112" totalsRowCount="1" headerRowDxfId="118" totalsRowDxfId="115" headerRowBorderDxfId="117" tableBorderDxfId="116" totalsRowBorderDxfId="114">
  <autoFilter ref="B2:J111" xr:uid="{00000000-0009-0000-0100-000004000000}"/>
  <sortState xmlns:xlrd2="http://schemas.microsoft.com/office/spreadsheetml/2017/richdata2" ref="B3:J111">
    <sortCondition ref="C2:C111"/>
  </sortState>
  <tableColumns count="9">
    <tableColumn id="1" xr3:uid="{00000000-0010-0000-0400-000001000000}" name="#" totalsRowLabel="Toplam" dataDxfId="113" totalsRowDxfId="112">
      <calculatedColumnFormula>IF(ISBLANK(C3),"",SUBTOTAL(3, $C$3:C3))</calculatedColumnFormula>
    </tableColumn>
    <tableColumn id="7" xr3:uid="{00000000-0010-0000-0400-000007000000}" name="Adı Soyadı" dataDxfId="111" totalsRowDxfId="110"/>
    <tableColumn id="2" xr3:uid="{00000000-0010-0000-0400-000002000000}" name="Ürün Cinsi" dataDxfId="109" totalsRowDxfId="108"/>
    <tableColumn id="3" xr3:uid="{00000000-0010-0000-0400-000003000000}" name="En" dataDxfId="107" totalsRowDxfId="106"/>
    <tableColumn id="9" xr3:uid="{0413F692-4152-4ED2-82CE-96E2ECE596D7}" name="Boy" dataDxfId="105" totalsRowDxfId="104"/>
    <tableColumn id="4" xr3:uid="{00000000-0010-0000-0400-000004000000}" name="ADET" totalsRowFunction="sum" dataDxfId="103" totalsRowDxfId="102"/>
    <tableColumn id="5" xr3:uid="{00000000-0010-0000-0400-000005000000}" name="BİRİM FİYAT" dataDxfId="101" totalsRowDxfId="100">
      <calculatedColumnFormula>IF(ISBLANK(Sacak[[#This Row],[En]]),"",VLOOKUP(Sacak[[#This Row],[En]],Fiyat[[Ölçü]:[Birim Fiyatı]],2,0))</calculatedColumnFormula>
    </tableColumn>
    <tableColumn id="6" xr3:uid="{00000000-0010-0000-0400-000006000000}" name="TUTAR" totalsRowFunction="sum" dataDxfId="99" totalsRowDxfId="98"/>
    <tableColumn id="8" xr3:uid="{00000000-0010-0000-0400-000008000000}" name="Ödenecek Toplam" dataDxfId="97" totalsRowDxfId="96">
      <calculatedColumnFormula>IF(ISBLANK(Sacak[[#This Row],[En]]),"",SUMIF(Sacak[Adı Soyadı],Sacak[[#This Row],[Adı Soyadı]],Sacak[TUTAR]))</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tiket" displayName="Etiket" ref="B2:K117" totalsRowCount="1" headerRowDxfId="95" dataDxfId="93" totalsRowDxfId="91" headerRowBorderDxfId="94" tableBorderDxfId="92" totalsRowBorderDxfId="90">
  <autoFilter ref="B2:K116" xr:uid="{00000000-0009-0000-0100-000005000000}"/>
  <sortState xmlns:xlrd2="http://schemas.microsoft.com/office/spreadsheetml/2017/richdata2" ref="B3:K116">
    <sortCondition ref="C2:C116"/>
  </sortState>
  <tableColumns count="10">
    <tableColumn id="1" xr3:uid="{00000000-0010-0000-0500-000001000000}" name="#" totalsRowLabel="Toplam" dataDxfId="89" totalsRowDxfId="39">
      <calculatedColumnFormula>IF(ISBLANK(C3),"",SUBTOTAL(3, $C$3:C3))</calculatedColumnFormula>
    </tableColumn>
    <tableColumn id="7" xr3:uid="{00000000-0010-0000-0500-000007000000}" name="Adı Soyadı" dataDxfId="88" totalsRowDxfId="38"/>
    <tableColumn id="2" xr3:uid="{00000000-0010-0000-0500-000002000000}" name="Ürün Cinsi" dataDxfId="87" totalsRowDxfId="37"/>
    <tableColumn id="3" xr3:uid="{00000000-0010-0000-0500-000003000000}" name="En" dataDxfId="86" totalsRowDxfId="36"/>
    <tableColumn id="9" xr3:uid="{B9CC3536-D561-4A84-831C-FB4D47F92372}" name="Boy" dataDxfId="85" totalsRowDxfId="35"/>
    <tableColumn id="4" xr3:uid="{00000000-0010-0000-0500-000004000000}" name="ADET" totalsRowFunction="sum" dataDxfId="84" totalsRowDxfId="34"/>
    <tableColumn id="10" xr3:uid="{00000000-0010-0000-0500-00000A000000}" name="TOPLAM (m)" dataDxfId="83" totalsRowDxfId="33">
      <calculatedColumnFormula>IF(ISBLANK(Etiket[[#This Row],[En]]),"",Etiket[[#This Row],[ADET]]*Etiket[[#This Row],[En]]*2/100)</calculatedColumnFormula>
    </tableColumn>
    <tableColumn id="5" xr3:uid="{00000000-0010-0000-0500-000005000000}" name="BİRİM FİYAT" dataDxfId="40" totalsRowDxfId="32">
      <calculatedColumnFormula>IF(ISBLANK(Etiket[[#This Row],[En]]),"",İşçilikler!$C$3)</calculatedColumnFormula>
    </tableColumn>
    <tableColumn id="6" xr3:uid="{00000000-0010-0000-0500-000006000000}" name="TUTAR" totalsRowFunction="sum" dataDxfId="82" totalsRowDxfId="31">
      <calculatedColumnFormula>IF(ISBLANK(Etiket[[#This Row],[En]]),"",H3*I3)</calculatedColumnFormula>
    </tableColumn>
    <tableColumn id="8" xr3:uid="{00000000-0010-0000-0500-000008000000}" name="Ödenecek Toplam" dataDxfId="81" totalsRowDxfId="30">
      <calculatedColumnFormula>IF(ISBLANK(Etiket[[#This Row],[En]]),"",SUMIF(Etiket[Adı Soyadı],Etiket[[#This Row],[Adı Soyadı]],Etiket[TUTAR]))</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ElOverlogu" displayName="ElOverlogu" ref="B2:J98" totalsRowCount="1" headerRowDxfId="80" dataDxfId="78" totalsRowDxfId="76" headerRowBorderDxfId="79" tableBorderDxfId="77" totalsRowBorderDxfId="75">
  <autoFilter ref="B2:J97" xr:uid="{00000000-0009-0000-0100-000007000000}"/>
  <sortState xmlns:xlrd2="http://schemas.microsoft.com/office/spreadsheetml/2017/richdata2" ref="B3:J97">
    <sortCondition ref="C2:C97"/>
  </sortState>
  <tableColumns count="9">
    <tableColumn id="1" xr3:uid="{00000000-0010-0000-0600-000001000000}" name="#" totalsRowLabel="Toplam" totalsRowDxfId="28">
      <calculatedColumnFormula>IF(ISBLANK(C3),"",SUBTOTAL(3, $C$3:C3))</calculatedColumnFormula>
    </tableColumn>
    <tableColumn id="7" xr3:uid="{00000000-0010-0000-0600-000007000000}" name="Adı Soyadı" dataDxfId="74" totalsRowDxfId="27"/>
    <tableColumn id="2" xr3:uid="{00000000-0010-0000-0600-000002000000}" name="Ürün Cinsi" dataDxfId="73" totalsRowDxfId="26"/>
    <tableColumn id="3" xr3:uid="{00000000-0010-0000-0600-000003000000}" name="En" dataDxfId="72" totalsRowDxfId="25"/>
    <tableColumn id="9" xr3:uid="{00000000-0010-0000-0600-000009000000}" name="Boy" dataDxfId="71" totalsRowDxfId="24"/>
    <tableColumn id="4" xr3:uid="{00000000-0010-0000-0600-000004000000}" name="ADET" totalsRowFunction="sum" dataDxfId="70" totalsRowDxfId="23"/>
    <tableColumn id="5" xr3:uid="{00000000-0010-0000-0600-000005000000}" name="BİRİM FİYAT" dataDxfId="29" totalsRowDxfId="22">
      <calculatedColumnFormula>IF(ISBLANK(ElOverlogu[[#This Row],[En]]),"",İşçilikler!$C$2)</calculatedColumnFormula>
    </tableColumn>
    <tableColumn id="6" xr3:uid="{00000000-0010-0000-0600-000006000000}" name="TUTAR" totalsRowFunction="sum" dataDxfId="69" totalsRowDxfId="21">
      <calculatedColumnFormula>IF(ISBLANK(ElOverlogu[[#This Row],[En]]),"",(ElOverlogu[[#This Row],[En]]+ElOverlogu[[#This Row],[Boy]])*ElOverlogu[[#This Row],[ADET]]*2*H3/100)</calculatedColumnFormula>
    </tableColumn>
    <tableColumn id="8" xr3:uid="{00000000-0010-0000-0600-000008000000}" name="Ödenecek Toplam" dataDxfId="68" totalsRowDxfId="20">
      <calculatedColumnFormula>IF(ISBLANK(ElOverlogu[[#This Row],[En]]),"",SUMIF(ElOverlogu[Adı Soyadı],ElOverlogu[[#This Row],[Adı Soyadı]],ElOverlogu[TUTAR]))</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Sacak13" displayName="Sacak13" ref="B2:J112" totalsRowCount="1" headerRowDxfId="67" dataDxfId="65" totalsRowDxfId="63" headerRowBorderDxfId="66" tableBorderDxfId="64" totalsRowBorderDxfId="62">
  <autoFilter ref="B2:J111" xr:uid="{00000000-0009-0000-0100-00000C000000}"/>
  <sortState xmlns:xlrd2="http://schemas.microsoft.com/office/spreadsheetml/2017/richdata2" ref="B3:J111">
    <sortCondition ref="C2:C111"/>
  </sortState>
  <tableColumns count="9">
    <tableColumn id="1" xr3:uid="{00000000-0010-0000-0700-000001000000}" name="#" totalsRowLabel="Toplam" totalsRowDxfId="19">
      <calculatedColumnFormula>IF(ISBLANK(C3),"",SUBTOTAL(3, $C$3:C3))</calculatedColumnFormula>
    </tableColumn>
    <tableColumn id="7" xr3:uid="{00000000-0010-0000-0700-000007000000}" name="Adı Soyadı" dataDxfId="61" totalsRowDxfId="18"/>
    <tableColumn id="2" xr3:uid="{00000000-0010-0000-0700-000002000000}" name="Ürün Cinsi" dataDxfId="60" totalsRowDxfId="17"/>
    <tableColumn id="3" xr3:uid="{00000000-0010-0000-0700-000003000000}" name="En" dataDxfId="59" totalsRowDxfId="16"/>
    <tableColumn id="9" xr3:uid="{4414C07D-D0CF-4CC2-8065-B647E4A070AF}" name="Boy" dataDxfId="58" totalsRowDxfId="15"/>
    <tableColumn id="4" xr3:uid="{00000000-0010-0000-0700-000004000000}" name="ADET" totalsRowFunction="sum" dataDxfId="57" totalsRowDxfId="14"/>
    <tableColumn id="5" xr3:uid="{00000000-0010-0000-0700-000005000000}" name="BİRİM FİYAT" dataDxfId="10" totalsRowDxfId="13">
      <calculatedColumnFormula>IF(ISBLANK(Sacak13[[#This Row],[Adı Soyadı]]),"",İşçilikler!$C$5)</calculatedColumnFormula>
    </tableColumn>
    <tableColumn id="6" xr3:uid="{00000000-0010-0000-0700-000006000000}" name="TUTAR" totalsRowFunction="sum" dataDxfId="56" totalsRowDxfId="12">
      <calculatedColumnFormula>IF(ISBLANK(Sacak13[[#This Row],[Adı Soyadı]]),"",Sacak13[[#This Row],[ADET]]*Sacak13[[#This Row],[BİRİM FİYAT]])</calculatedColumnFormula>
    </tableColumn>
    <tableColumn id="8" xr3:uid="{00000000-0010-0000-0700-000008000000}" name="Ödenecek Toplam" dataDxfId="55" totalsRowDxfId="11">
      <calculatedColumnFormula>IF(ISBLANK(Sacak13[[#This Row],[ADET]]),"",SUMIF(Sacak13[Adı Soyadı],Sacak13[[#This Row],[Adı Soyadı]],Sacak13[TUTAR]))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ElOverlogu11" displayName="ElOverlogu11" ref="B2:J98" totalsRowCount="1" headerRowDxfId="54" dataDxfId="52" totalsRowDxfId="50" headerRowBorderDxfId="53" tableBorderDxfId="51" totalsRowBorderDxfId="49">
  <autoFilter ref="B2:J97" xr:uid="{00000000-0009-0000-0100-00000A000000}"/>
  <sortState xmlns:xlrd2="http://schemas.microsoft.com/office/spreadsheetml/2017/richdata2" ref="B3:J97">
    <sortCondition ref="C2:C97"/>
  </sortState>
  <tableColumns count="9">
    <tableColumn id="1" xr3:uid="{00000000-0010-0000-0800-000001000000}" name="#" totalsRowLabel="Toplam" totalsRowDxfId="8">
      <calculatedColumnFormula>IF(ISBLANK(C3),"",SUBTOTAL(3, $C$3:C3))</calculatedColumnFormula>
    </tableColumn>
    <tableColumn id="7" xr3:uid="{00000000-0010-0000-0800-000007000000}" name="Adı Soyadı" dataDxfId="48" totalsRowDxfId="7"/>
    <tableColumn id="2" xr3:uid="{00000000-0010-0000-0800-000002000000}" name="Ürün Cinsi" dataDxfId="47" totalsRowDxfId="6"/>
    <tableColumn id="3" xr3:uid="{00000000-0010-0000-0800-000003000000}" name="En" dataDxfId="46" totalsRowDxfId="5"/>
    <tableColumn id="9" xr3:uid="{00000000-0010-0000-0800-000009000000}" name="Boy" dataDxfId="45" totalsRowDxfId="4"/>
    <tableColumn id="4" xr3:uid="{00000000-0010-0000-0800-000004000000}" name="ADET" totalsRowFunction="sum" dataDxfId="44" totalsRowDxfId="3"/>
    <tableColumn id="5" xr3:uid="{00000000-0010-0000-0800-000005000000}" name="BİRİM FİYAT" dataDxfId="9" totalsRowDxfId="2">
      <calculatedColumnFormula>IF(ISBLANK(ElOverlogu11[[#This Row],[Adı Soyadı]]),"",İşçilikler!$C$4)</calculatedColumnFormula>
    </tableColumn>
    <tableColumn id="6" xr3:uid="{00000000-0010-0000-0800-000006000000}" name="TUTAR" totalsRowFunction="sum" dataDxfId="43" totalsRowDxfId="1">
      <calculatedColumnFormula>IF(ISBLANK(ElOverlogu11[[#This Row],[En]]),"",(ElOverlogu11[[#This Row],[En]])*ElOverlogu11[[#This Row],[ADET]]*2*ElOverlogu11[[#This Row],[BİRİM FİYAT]]/100)</calculatedColumnFormula>
    </tableColumn>
    <tableColumn id="8" xr3:uid="{00000000-0010-0000-0800-000008000000}" name="Ödenecek Toplam" dataDxfId="42" totalsRowDxfId="0">
      <calculatedColumnFormula>IF(ISBLANK(ElOverlogu11[[#This Row],[En]]),"",SUMIF(ElOverlogu11[Adı Soyadı],ElOverlogu11[[#This Row],[Adı Soyadı]],ElOverlogu11[TUTAR]))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59"/>
  <sheetViews>
    <sheetView topLeftCell="A9" workbookViewId="0">
      <selection activeCell="I17" sqref="I17"/>
    </sheetView>
  </sheetViews>
  <sheetFormatPr defaultRowHeight="14.4" x14ac:dyDescent="0.3"/>
  <cols>
    <col min="1" max="1" width="5.6640625" customWidth="1"/>
    <col min="2" max="2" width="23.33203125" customWidth="1"/>
  </cols>
  <sheetData>
    <row r="1" spans="1:2" ht="15.6" x14ac:dyDescent="0.3">
      <c r="A1" s="58" t="s">
        <v>18</v>
      </c>
      <c r="B1" s="53" t="s">
        <v>17</v>
      </c>
    </row>
    <row r="2" spans="1:2" x14ac:dyDescent="0.3">
      <c r="A2" s="59">
        <f>IF(ISBLANK(B2),"",SUBTOTAL(3, $B$2:B2))</f>
        <v>1</v>
      </c>
      <c r="B2" s="36" t="s">
        <v>45</v>
      </c>
    </row>
    <row r="3" spans="1:2" x14ac:dyDescent="0.3">
      <c r="A3" s="59">
        <f>IF(ISBLANK(B3),"",SUBTOTAL(3, $B$2:B3))</f>
        <v>2</v>
      </c>
      <c r="B3" s="36" t="s">
        <v>44</v>
      </c>
    </row>
    <row r="4" spans="1:2" x14ac:dyDescent="0.3">
      <c r="A4" s="59">
        <f>IF(ISBLANK(B4),"",SUBTOTAL(3, $B$2:B4))</f>
        <v>3</v>
      </c>
      <c r="B4" s="36" t="s">
        <v>5</v>
      </c>
    </row>
    <row r="5" spans="1:2" x14ac:dyDescent="0.3">
      <c r="A5" s="59">
        <f>IF(ISBLANK(B5),"",SUBTOTAL(3, $B$2:B5))</f>
        <v>4</v>
      </c>
      <c r="B5" s="36" t="s">
        <v>8</v>
      </c>
    </row>
    <row r="6" spans="1:2" x14ac:dyDescent="0.3">
      <c r="A6" s="59">
        <f>IF(ISBLANK(B6),"",SUBTOTAL(3, $B$2:B6))</f>
        <v>5</v>
      </c>
      <c r="B6" s="36" t="s">
        <v>26</v>
      </c>
    </row>
    <row r="7" spans="1:2" x14ac:dyDescent="0.3">
      <c r="A7" s="59">
        <f>IF(ISBLANK(B7),"",SUBTOTAL(3, $B$2:B7))</f>
        <v>6</v>
      </c>
      <c r="B7" s="36" t="s">
        <v>67</v>
      </c>
    </row>
    <row r="8" spans="1:2" x14ac:dyDescent="0.3">
      <c r="A8" s="59">
        <f>IF(ISBLANK(B8),"",SUBTOTAL(3, $B$2:B8))</f>
        <v>7</v>
      </c>
      <c r="B8" s="36" t="s">
        <v>60</v>
      </c>
    </row>
    <row r="9" spans="1:2" x14ac:dyDescent="0.3">
      <c r="A9" s="59">
        <f>IF(ISBLANK(B9),"",SUBTOTAL(3, $B$2:B9))</f>
        <v>8</v>
      </c>
      <c r="B9" s="36" t="s">
        <v>24</v>
      </c>
    </row>
    <row r="10" spans="1:2" x14ac:dyDescent="0.3">
      <c r="A10" s="59">
        <f>IF(ISBLANK(B10),"",SUBTOTAL(3, $B$2:B10))</f>
        <v>9</v>
      </c>
      <c r="B10" s="36" t="s">
        <v>59</v>
      </c>
    </row>
    <row r="11" spans="1:2" x14ac:dyDescent="0.3">
      <c r="A11" s="59">
        <f>IF(ISBLANK(B11),"",SUBTOTAL(3, $B$2:B11))</f>
        <v>10</v>
      </c>
      <c r="B11" s="36" t="s">
        <v>47</v>
      </c>
    </row>
    <row r="12" spans="1:2" x14ac:dyDescent="0.3">
      <c r="A12" s="59">
        <f>IF(ISBLANK(B12),"",SUBTOTAL(3, $B$2:B12))</f>
        <v>11</v>
      </c>
      <c r="B12" s="36" t="s">
        <v>63</v>
      </c>
    </row>
    <row r="13" spans="1:2" x14ac:dyDescent="0.3">
      <c r="A13" s="59">
        <f>IF(ISBLANK(B13),"",SUBTOTAL(3, $B$2:B13))</f>
        <v>12</v>
      </c>
      <c r="B13" s="36" t="s">
        <v>53</v>
      </c>
    </row>
    <row r="14" spans="1:2" x14ac:dyDescent="0.3">
      <c r="A14" s="59">
        <f>IF(ISBLANK(B14),"",SUBTOTAL(3, $B$2:B14))</f>
        <v>13</v>
      </c>
      <c r="B14" s="36" t="s">
        <v>16</v>
      </c>
    </row>
    <row r="15" spans="1:2" x14ac:dyDescent="0.3">
      <c r="A15" s="59">
        <f>IF(ISBLANK(B15),"",SUBTOTAL(3, $B$2:B15))</f>
        <v>14</v>
      </c>
      <c r="B15" s="36" t="s">
        <v>34</v>
      </c>
    </row>
    <row r="16" spans="1:2" x14ac:dyDescent="0.3">
      <c r="A16" s="59">
        <f>IF(ISBLANK(B16),"",SUBTOTAL(3, $B$2:B16))</f>
        <v>15</v>
      </c>
      <c r="B16" s="36" t="s">
        <v>61</v>
      </c>
    </row>
    <row r="17" spans="1:2" x14ac:dyDescent="0.3">
      <c r="A17" s="59">
        <f>IF(ISBLANK(B17),"",SUBTOTAL(3, $B$2:B17))</f>
        <v>16</v>
      </c>
      <c r="B17" s="36" t="s">
        <v>28</v>
      </c>
    </row>
    <row r="18" spans="1:2" x14ac:dyDescent="0.3">
      <c r="A18" s="59">
        <f>IF(ISBLANK(B18),"",SUBTOTAL(3, $B$2:B18))</f>
        <v>17</v>
      </c>
      <c r="B18" s="36" t="s">
        <v>27</v>
      </c>
    </row>
    <row r="19" spans="1:2" x14ac:dyDescent="0.3">
      <c r="A19" s="59">
        <f>IF(ISBLANK(B19),"",SUBTOTAL(3, $B$2:B19))</f>
        <v>18</v>
      </c>
      <c r="B19" s="36" t="s">
        <v>35</v>
      </c>
    </row>
    <row r="20" spans="1:2" x14ac:dyDescent="0.3">
      <c r="A20" s="59">
        <f>IF(ISBLANK(B20),"",SUBTOTAL(3, $B$2:B20))</f>
        <v>19</v>
      </c>
      <c r="B20" s="36" t="s">
        <v>33</v>
      </c>
    </row>
    <row r="21" spans="1:2" x14ac:dyDescent="0.3">
      <c r="A21" s="59">
        <f>IF(ISBLANK(B21),"",SUBTOTAL(3, $B$2:B21))</f>
        <v>20</v>
      </c>
      <c r="B21" s="36" t="s">
        <v>30</v>
      </c>
    </row>
    <row r="22" spans="1:2" x14ac:dyDescent="0.3">
      <c r="A22" s="59">
        <f>IF(ISBLANK(B22),"",SUBTOTAL(3, $B$2:B22))</f>
        <v>21</v>
      </c>
      <c r="B22" s="36" t="s">
        <v>36</v>
      </c>
    </row>
    <row r="23" spans="1:2" x14ac:dyDescent="0.3">
      <c r="A23" s="59">
        <f>IF(ISBLANK(B23),"",SUBTOTAL(3, $B$2:B23))</f>
        <v>22</v>
      </c>
      <c r="B23" s="36" t="s">
        <v>72</v>
      </c>
    </row>
    <row r="24" spans="1:2" x14ac:dyDescent="0.3">
      <c r="A24" s="59">
        <f>IF(ISBLANK(B24),"",SUBTOTAL(3, $B$2:B24))</f>
        <v>23</v>
      </c>
      <c r="B24" s="36" t="s">
        <v>68</v>
      </c>
    </row>
    <row r="25" spans="1:2" x14ac:dyDescent="0.3">
      <c r="A25" s="59">
        <f>IF(ISBLANK(B25),"",SUBTOTAL(3, $B$2:B25))</f>
        <v>24</v>
      </c>
      <c r="B25" s="36" t="s">
        <v>21</v>
      </c>
    </row>
    <row r="26" spans="1:2" x14ac:dyDescent="0.3">
      <c r="A26" s="59">
        <f>IF(ISBLANK(B26),"",SUBTOTAL(3, $B$2:B26))</f>
        <v>25</v>
      </c>
      <c r="B26" s="36" t="s">
        <v>48</v>
      </c>
    </row>
    <row r="27" spans="1:2" x14ac:dyDescent="0.3">
      <c r="A27" s="59">
        <f>IF(ISBLANK(B27),"",SUBTOTAL(3, $B$2:B27))</f>
        <v>26</v>
      </c>
      <c r="B27" s="36" t="s">
        <v>7</v>
      </c>
    </row>
    <row r="28" spans="1:2" x14ac:dyDescent="0.3">
      <c r="A28" s="59">
        <f>IF(ISBLANK(B28),"",SUBTOTAL(3, $B$2:B28))</f>
        <v>27</v>
      </c>
      <c r="B28" s="36" t="s">
        <v>73</v>
      </c>
    </row>
    <row r="29" spans="1:2" x14ac:dyDescent="0.3">
      <c r="A29" s="59">
        <f>IF(ISBLANK(B29),"",SUBTOTAL(3, $B$2:B29))</f>
        <v>28</v>
      </c>
      <c r="B29" s="36" t="s">
        <v>15</v>
      </c>
    </row>
    <row r="30" spans="1:2" x14ac:dyDescent="0.3">
      <c r="A30" s="59">
        <f>IF(ISBLANK(B30),"",SUBTOTAL(3, $B$2:B30))</f>
        <v>29</v>
      </c>
      <c r="B30" s="36" t="s">
        <v>64</v>
      </c>
    </row>
    <row r="31" spans="1:2" x14ac:dyDescent="0.3">
      <c r="A31" s="59">
        <f>IF(ISBLANK(B31),"",SUBTOTAL(3, $B$2:B31))</f>
        <v>30</v>
      </c>
      <c r="B31" s="36" t="s">
        <v>23</v>
      </c>
    </row>
    <row r="32" spans="1:2" x14ac:dyDescent="0.3">
      <c r="A32" s="59">
        <f>IF(ISBLANK(B32),"",SUBTOTAL(3, $B$2:B32))</f>
        <v>31</v>
      </c>
      <c r="B32" s="36" t="s">
        <v>9</v>
      </c>
    </row>
    <row r="33" spans="1:2" x14ac:dyDescent="0.3">
      <c r="A33" s="59">
        <f>IF(ISBLANK(B33),"",SUBTOTAL(3, $B$2:B33))</f>
        <v>32</v>
      </c>
      <c r="B33" s="36" t="s">
        <v>71</v>
      </c>
    </row>
    <row r="34" spans="1:2" x14ac:dyDescent="0.3">
      <c r="A34" s="59">
        <f>IF(ISBLANK(B34),"",SUBTOTAL(3, $B$2:B34))</f>
        <v>33</v>
      </c>
      <c r="B34" s="36" t="s">
        <v>52</v>
      </c>
    </row>
    <row r="35" spans="1:2" x14ac:dyDescent="0.3">
      <c r="A35" s="59">
        <f>IF(ISBLANK(B35),"",SUBTOTAL(3, $B$2:B35))</f>
        <v>34</v>
      </c>
      <c r="B35" s="36" t="s">
        <v>32</v>
      </c>
    </row>
    <row r="36" spans="1:2" x14ac:dyDescent="0.3">
      <c r="A36" s="59">
        <f>IF(ISBLANK(B36),"",SUBTOTAL(3, $B$2:B36))</f>
        <v>35</v>
      </c>
      <c r="B36" s="36" t="s">
        <v>12</v>
      </c>
    </row>
    <row r="37" spans="1:2" x14ac:dyDescent="0.3">
      <c r="A37" s="59">
        <f>IF(ISBLANK(B37),"",SUBTOTAL(3, $B$2:B37))</f>
        <v>36</v>
      </c>
      <c r="B37" s="36" t="s">
        <v>74</v>
      </c>
    </row>
    <row r="38" spans="1:2" x14ac:dyDescent="0.3">
      <c r="A38" s="59">
        <f>IF(ISBLANK(B38),"",SUBTOTAL(3, $B$2:B38))</f>
        <v>37</v>
      </c>
      <c r="B38" s="36" t="s">
        <v>22</v>
      </c>
    </row>
    <row r="39" spans="1:2" x14ac:dyDescent="0.3">
      <c r="A39" s="59">
        <f>IF(ISBLANK(B39),"",SUBTOTAL(3, $B$2:B39))</f>
        <v>38</v>
      </c>
      <c r="B39" s="36" t="s">
        <v>29</v>
      </c>
    </row>
    <row r="40" spans="1:2" x14ac:dyDescent="0.3">
      <c r="A40" s="59">
        <f>IF(ISBLANK(B40),"",SUBTOTAL(3, $B$2:B40))</f>
        <v>39</v>
      </c>
      <c r="B40" s="36" t="s">
        <v>46</v>
      </c>
    </row>
    <row r="41" spans="1:2" x14ac:dyDescent="0.3">
      <c r="A41" s="59">
        <f>IF(ISBLANK(B41),"",SUBTOTAL(3, $B$2:B41))</f>
        <v>40</v>
      </c>
      <c r="B41" s="36" t="s">
        <v>4</v>
      </c>
    </row>
    <row r="42" spans="1:2" x14ac:dyDescent="0.3">
      <c r="A42" s="59">
        <f>IF(ISBLANK(B42),"",SUBTOTAL(3, $B$2:B42))</f>
        <v>41</v>
      </c>
      <c r="B42" s="36" t="s">
        <v>31</v>
      </c>
    </row>
    <row r="43" spans="1:2" x14ac:dyDescent="0.3">
      <c r="A43" s="59">
        <f>IF(ISBLANK(B43),"",SUBTOTAL(3, $B$2:B43))</f>
        <v>42</v>
      </c>
      <c r="B43" s="36" t="s">
        <v>13</v>
      </c>
    </row>
    <row r="44" spans="1:2" x14ac:dyDescent="0.3">
      <c r="A44" s="59">
        <f>IF(ISBLANK(B44),"",SUBTOTAL(3, $B$2:B44))</f>
        <v>43</v>
      </c>
      <c r="B44" s="36" t="s">
        <v>10</v>
      </c>
    </row>
    <row r="45" spans="1:2" x14ac:dyDescent="0.3">
      <c r="A45" s="59">
        <f>IF(ISBLANK(B45),"",SUBTOTAL(3, $B$2:B45))</f>
        <v>44</v>
      </c>
      <c r="B45" s="36" t="s">
        <v>25</v>
      </c>
    </row>
    <row r="46" spans="1:2" x14ac:dyDescent="0.3">
      <c r="A46" s="59">
        <f>IF(ISBLANK(B46),"",SUBTOTAL(3, $B$2:B46))</f>
        <v>45</v>
      </c>
      <c r="B46" s="36" t="s">
        <v>78</v>
      </c>
    </row>
    <row r="47" spans="1:2" x14ac:dyDescent="0.3">
      <c r="A47" s="59">
        <f>IF(ISBLANK(B47),"",SUBTOTAL(3, $B$2:B47))</f>
        <v>46</v>
      </c>
      <c r="B47" s="36" t="s">
        <v>11</v>
      </c>
    </row>
    <row r="48" spans="1:2" x14ac:dyDescent="0.3">
      <c r="A48" s="59">
        <f>IF(ISBLANK(B48),"",SUBTOTAL(3, $B$2:B48))</f>
        <v>47</v>
      </c>
      <c r="B48" s="36" t="s">
        <v>66</v>
      </c>
    </row>
    <row r="49" spans="1:2" x14ac:dyDescent="0.3">
      <c r="A49" s="59">
        <f>IF(ISBLANK(B49),"",SUBTOTAL(3, $B$2:B49))</f>
        <v>48</v>
      </c>
      <c r="B49" s="36" t="s">
        <v>70</v>
      </c>
    </row>
    <row r="50" spans="1:2" x14ac:dyDescent="0.3">
      <c r="A50" s="59">
        <f>IF(ISBLANK(B50),"",SUBTOTAL(3, $B$2:B50))</f>
        <v>49</v>
      </c>
      <c r="B50" s="36" t="s">
        <v>65</v>
      </c>
    </row>
    <row r="51" spans="1:2" x14ac:dyDescent="0.3">
      <c r="A51" s="59" t="str">
        <f>IF(ISBLANK(B51),"",SUBTOTAL(3, $B$2:B51))</f>
        <v/>
      </c>
      <c r="B51" s="36"/>
    </row>
    <row r="52" spans="1:2" x14ac:dyDescent="0.3">
      <c r="A52" s="59" t="str">
        <f>IF(ISBLANK(B52),"",SUBTOTAL(3, $B$2:B52))</f>
        <v/>
      </c>
      <c r="B52" s="36"/>
    </row>
    <row r="53" spans="1:2" x14ac:dyDescent="0.3">
      <c r="A53" s="59" t="str">
        <f>IF(ISBLANK(B53),"",SUBTOTAL(3, $B$2:B53))</f>
        <v/>
      </c>
      <c r="B53" s="36"/>
    </row>
    <row r="54" spans="1:2" x14ac:dyDescent="0.3">
      <c r="A54" s="59" t="str">
        <f>IF(ISBLANK(B54),"",SUBTOTAL(3, $B$2:B54))</f>
        <v/>
      </c>
      <c r="B54" s="36"/>
    </row>
    <row r="55" spans="1:2" x14ac:dyDescent="0.3">
      <c r="A55" s="59" t="str">
        <f>IF(ISBLANK(B55),"",SUBTOTAL(3, $B$2:B55))</f>
        <v/>
      </c>
      <c r="B55" s="36"/>
    </row>
    <row r="56" spans="1:2" x14ac:dyDescent="0.3">
      <c r="A56" s="59" t="str">
        <f>IF(ISBLANK(B56),"",SUBTOTAL(3, $B$2:B56))</f>
        <v/>
      </c>
      <c r="B56" s="36"/>
    </row>
    <row r="57" spans="1:2" x14ac:dyDescent="0.3">
      <c r="A57" s="59" t="str">
        <f>IF(ISBLANK(B57),"",SUBTOTAL(3, $B$2:B57))</f>
        <v/>
      </c>
      <c r="B57" s="36"/>
    </row>
    <row r="58" spans="1:2" x14ac:dyDescent="0.3">
      <c r="A58" s="59" t="str">
        <f>IF(ISBLANK(B58),"",SUBTOTAL(3, $B$2:B58))</f>
        <v/>
      </c>
      <c r="B58" s="36"/>
    </row>
    <row r="59" spans="1:2" x14ac:dyDescent="0.3">
      <c r="A59" s="59" t="str">
        <f>IF(ISBLANK(B59),"",SUBTOTAL(3, $B$2:B59))</f>
        <v/>
      </c>
      <c r="B59" s="36"/>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4"/>
  <sheetViews>
    <sheetView workbookViewId="0">
      <selection activeCell="D5" sqref="D5"/>
    </sheetView>
  </sheetViews>
  <sheetFormatPr defaultColWidth="8.88671875" defaultRowHeight="14.4" x14ac:dyDescent="0.3"/>
  <cols>
    <col min="1" max="1" width="7" style="59" customWidth="1"/>
    <col min="2" max="2" width="16.6640625" style="61" customWidth="1"/>
    <col min="3" max="16384" width="8.88671875" style="57"/>
  </cols>
  <sheetData>
    <row r="1" spans="1:2" ht="15.6" x14ac:dyDescent="0.3">
      <c r="A1" s="56" t="s">
        <v>18</v>
      </c>
      <c r="B1" s="60" t="s">
        <v>19</v>
      </c>
    </row>
    <row r="2" spans="1:2" x14ac:dyDescent="0.3">
      <c r="A2" s="59">
        <f>IF(ISBLANK(B2),"",SUBTOTAL(3, $B$2:B2))</f>
        <v>1</v>
      </c>
      <c r="B2" s="36" t="s">
        <v>49</v>
      </c>
    </row>
    <row r="3" spans="1:2" x14ac:dyDescent="0.3">
      <c r="A3" s="59">
        <f>IF(ISBLANK(B3),"",SUBTOTAL(3, $B$2:B3))</f>
        <v>2</v>
      </c>
      <c r="B3" s="36" t="s">
        <v>6</v>
      </c>
    </row>
    <row r="4" spans="1:2" x14ac:dyDescent="0.3">
      <c r="A4" s="59">
        <f>IF(ISBLANK(B4),"",SUBTOTAL(3, $B$2:B4))</f>
        <v>3</v>
      </c>
      <c r="B4" s="36" t="s">
        <v>3</v>
      </c>
    </row>
    <row r="5" spans="1:2" x14ac:dyDescent="0.3">
      <c r="A5" s="59">
        <f>IF(ISBLANK(B5),"",SUBTOTAL(3, $B$2:B5))</f>
        <v>4</v>
      </c>
      <c r="B5" s="36" t="s">
        <v>69</v>
      </c>
    </row>
    <row r="6" spans="1:2" x14ac:dyDescent="0.3">
      <c r="A6" s="59" t="str">
        <f>IF(ISBLANK(B6),"",SUBTOTAL(3, $B$2:B6))</f>
        <v/>
      </c>
      <c r="B6" s="36"/>
    </row>
    <row r="7" spans="1:2" x14ac:dyDescent="0.3">
      <c r="A7" s="59" t="str">
        <f>IF(ISBLANK(B7),"",SUBTOTAL(3, $B$2:B7))</f>
        <v/>
      </c>
      <c r="B7" s="36"/>
    </row>
    <row r="8" spans="1:2" x14ac:dyDescent="0.3">
      <c r="A8" s="59" t="str">
        <f>IF(ISBLANK(B8),"",SUBTOTAL(3, $B$2:B8))</f>
        <v/>
      </c>
      <c r="B8" s="36"/>
    </row>
    <row r="9" spans="1:2" x14ac:dyDescent="0.3">
      <c r="A9" s="59" t="str">
        <f>IF(ISBLANK(B9),"",SUBTOTAL(3, $B$2:B9))</f>
        <v/>
      </c>
      <c r="B9" s="36"/>
    </row>
    <row r="10" spans="1:2" x14ac:dyDescent="0.3">
      <c r="A10" s="59" t="str">
        <f>IF(ISBLANK(B10),"",SUBTOTAL(3, $B$2:B10))</f>
        <v/>
      </c>
      <c r="B10" s="36"/>
    </row>
    <row r="11" spans="1:2" x14ac:dyDescent="0.3">
      <c r="A11" s="59" t="str">
        <f>IF(ISBLANK(B11),"",SUBTOTAL(3, $B$2:B11))</f>
        <v/>
      </c>
      <c r="B11" s="36"/>
    </row>
    <row r="12" spans="1:2" x14ac:dyDescent="0.3">
      <c r="A12" s="59" t="str">
        <f>IF(ISBLANK(B12),"",SUBTOTAL(3, $B$2:B12))</f>
        <v/>
      </c>
      <c r="B12" s="36"/>
    </row>
    <row r="13" spans="1:2" x14ac:dyDescent="0.3">
      <c r="A13" s="59" t="str">
        <f>IF(ISBLANK(B13),"",SUBTOTAL(3, $B$2:B13))</f>
        <v/>
      </c>
      <c r="B13" s="36"/>
    </row>
    <row r="14" spans="1:2" x14ac:dyDescent="0.3">
      <c r="A14" s="59" t="str">
        <f>IF(ISBLANK(B14),"",SUBTOTAL(3, $B$2:B14))</f>
        <v/>
      </c>
      <c r="B14" s="36"/>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53707-B91F-49DD-AE93-D14DB045608B}">
  <dimension ref="A1:C9"/>
  <sheetViews>
    <sheetView tabSelected="1" workbookViewId="0">
      <selection activeCell="G13" sqref="G13"/>
    </sheetView>
  </sheetViews>
  <sheetFormatPr defaultRowHeight="14.4" x14ac:dyDescent="0.3"/>
  <cols>
    <col min="2" max="2" width="14.21875" bestFit="1" customWidth="1"/>
    <col min="3" max="3" width="16.109375" bestFit="1" customWidth="1"/>
  </cols>
  <sheetData>
    <row r="1" spans="1:3" ht="15.6" x14ac:dyDescent="0.3">
      <c r="A1" s="56" t="s">
        <v>18</v>
      </c>
      <c r="B1" s="60" t="s">
        <v>107</v>
      </c>
      <c r="C1" s="67" t="s">
        <v>109</v>
      </c>
    </row>
    <row r="2" spans="1:3" x14ac:dyDescent="0.3">
      <c r="A2" s="59">
        <f>IF(ISBLANK(B2),"",SUBTOTAL(3, $B$2:B2))</f>
        <v>1</v>
      </c>
      <c r="B2" s="36" t="s">
        <v>55</v>
      </c>
      <c r="C2" s="57">
        <v>165</v>
      </c>
    </row>
    <row r="3" spans="1:3" x14ac:dyDescent="0.3">
      <c r="A3" s="59">
        <f>IF(ISBLANK(B3),"",SUBTOTAL(3, $B$2:B3))</f>
        <v>2</v>
      </c>
      <c r="B3" s="36" t="s">
        <v>14</v>
      </c>
      <c r="C3" s="57">
        <v>48</v>
      </c>
    </row>
    <row r="4" spans="1:3" x14ac:dyDescent="0.3">
      <c r="A4" s="59">
        <f>IF(ISBLANK(B4),"",SUBTOTAL(3, $B$2:B4))</f>
        <v>3</v>
      </c>
      <c r="B4" s="36" t="s">
        <v>56</v>
      </c>
      <c r="C4" s="57">
        <v>7</v>
      </c>
    </row>
    <row r="5" spans="1:3" x14ac:dyDescent="0.3">
      <c r="A5" s="59">
        <f>IF(ISBLANK(B5),"",SUBTOTAL(3, $B$2:B5))</f>
        <v>4</v>
      </c>
      <c r="B5" s="36" t="s">
        <v>62</v>
      </c>
      <c r="C5" s="57">
        <v>3</v>
      </c>
    </row>
    <row r="6" spans="1:3" x14ac:dyDescent="0.3">
      <c r="A6" s="59">
        <f>IF(ISBLANK(B6),"",SUBTOTAL(3, $B$2:B6))</f>
        <v>5</v>
      </c>
      <c r="B6" s="36" t="s">
        <v>108</v>
      </c>
      <c r="C6" s="57" t="s">
        <v>110</v>
      </c>
    </row>
    <row r="7" spans="1:3" x14ac:dyDescent="0.3">
      <c r="A7" s="59">
        <f>IF(ISBLANK(B7),"",SUBTOTAL(3, $B$2:B7))</f>
        <v>6</v>
      </c>
      <c r="B7" s="36" t="s">
        <v>42</v>
      </c>
      <c r="C7" s="57"/>
    </row>
    <row r="8" spans="1:3" x14ac:dyDescent="0.3">
      <c r="A8" s="59" t="str">
        <f>IF(ISBLANK(B8),"",SUBTOTAL(3, $B$2:B8))</f>
        <v/>
      </c>
      <c r="B8" s="36"/>
      <c r="C8" s="57"/>
    </row>
    <row r="9" spans="1:3" x14ac:dyDescent="0.3">
      <c r="A9" s="59" t="str">
        <f>IF(ISBLANK(B9),"",SUBTOTAL(3, $B$2:B9))</f>
        <v/>
      </c>
      <c r="B9" s="36"/>
      <c r="C9" s="57"/>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26"/>
  <sheetViews>
    <sheetView workbookViewId="0">
      <selection activeCell="C16" sqref="C16"/>
    </sheetView>
  </sheetViews>
  <sheetFormatPr defaultRowHeight="14.4" x14ac:dyDescent="0.3"/>
  <cols>
    <col min="1" max="1" width="6" style="59" customWidth="1"/>
    <col min="2" max="3" width="12.5546875" style="59" customWidth="1"/>
  </cols>
  <sheetData>
    <row r="1" spans="1:3" ht="15.6" x14ac:dyDescent="0.3">
      <c r="A1" s="58" t="s">
        <v>18</v>
      </c>
      <c r="B1" s="58" t="s">
        <v>57</v>
      </c>
      <c r="C1" s="58" t="s">
        <v>58</v>
      </c>
    </row>
    <row r="2" spans="1:3" x14ac:dyDescent="0.3">
      <c r="A2" s="59">
        <f>IF(ISBLANK(B2),"",SUBTOTAL(3, $B$2:B2))</f>
        <v>1</v>
      </c>
      <c r="B2" s="59">
        <v>30</v>
      </c>
      <c r="C2" s="59">
        <v>30</v>
      </c>
    </row>
    <row r="3" spans="1:3" x14ac:dyDescent="0.3">
      <c r="A3" s="59">
        <f>IF(ISBLANK(B3),"",SUBTOTAL(3, $B$2:B3))</f>
        <v>2</v>
      </c>
      <c r="B3" s="59">
        <v>40</v>
      </c>
      <c r="C3" s="59">
        <v>40</v>
      </c>
    </row>
    <row r="4" spans="1:3" x14ac:dyDescent="0.3">
      <c r="A4" s="59">
        <f>IF(ISBLANK(B4),"",SUBTOTAL(3, $B$2:B4))</f>
        <v>3</v>
      </c>
      <c r="B4" s="59">
        <v>45</v>
      </c>
      <c r="C4" s="59">
        <v>45</v>
      </c>
    </row>
    <row r="5" spans="1:3" x14ac:dyDescent="0.3">
      <c r="A5" s="59">
        <f>IF(ISBLANK(B5),"",SUBTOTAL(3, $B$2:B5))</f>
        <v>4</v>
      </c>
      <c r="B5" s="59">
        <v>60</v>
      </c>
      <c r="C5" s="59">
        <v>60</v>
      </c>
    </row>
    <row r="6" spans="1:3" x14ac:dyDescent="0.3">
      <c r="A6" s="59">
        <f>IF(ISBLANK(B6),"",SUBTOTAL(3, $B$2:B6))</f>
        <v>5</v>
      </c>
      <c r="B6" s="59">
        <v>70</v>
      </c>
      <c r="C6" s="59">
        <v>70</v>
      </c>
    </row>
    <row r="7" spans="1:3" x14ac:dyDescent="0.3">
      <c r="A7" s="59">
        <f>IF(ISBLANK(B7),"",SUBTOTAL(3, $B$2:B7))</f>
        <v>6</v>
      </c>
      <c r="B7" s="59">
        <v>80</v>
      </c>
      <c r="C7" s="59">
        <v>80</v>
      </c>
    </row>
    <row r="8" spans="1:3" x14ac:dyDescent="0.3">
      <c r="A8" s="59">
        <f>IF(ISBLANK(B8),"",SUBTOTAL(3, $B$2:B8))</f>
        <v>7</v>
      </c>
      <c r="B8" s="59">
        <v>90</v>
      </c>
      <c r="C8" s="59">
        <v>90</v>
      </c>
    </row>
    <row r="9" spans="1:3" x14ac:dyDescent="0.3">
      <c r="A9" s="59">
        <f>IF(ISBLANK(B9),"",SUBTOTAL(3, $B$2:B9))</f>
        <v>8</v>
      </c>
      <c r="B9" s="59">
        <v>100</v>
      </c>
      <c r="C9" s="59">
        <v>100</v>
      </c>
    </row>
    <row r="10" spans="1:3" x14ac:dyDescent="0.3">
      <c r="A10" s="59">
        <f>IF(ISBLANK(B10),"",SUBTOTAL(3, $B$2:B10))</f>
        <v>9</v>
      </c>
      <c r="B10" s="59">
        <v>120</v>
      </c>
      <c r="C10" s="59">
        <v>120</v>
      </c>
    </row>
    <row r="11" spans="1:3" x14ac:dyDescent="0.3">
      <c r="A11" s="59">
        <f>IF(ISBLANK(B11),"",SUBTOTAL(3, $B$2:B11))</f>
        <v>10</v>
      </c>
      <c r="B11" s="59">
        <v>130</v>
      </c>
      <c r="C11" s="59">
        <v>130</v>
      </c>
    </row>
    <row r="12" spans="1:3" x14ac:dyDescent="0.3">
      <c r="A12" s="59">
        <f>IF(ISBLANK(B12),"",SUBTOTAL(3, $B$2:B12))</f>
        <v>11</v>
      </c>
      <c r="B12" s="59">
        <v>140</v>
      </c>
      <c r="C12" s="59">
        <v>140</v>
      </c>
    </row>
    <row r="13" spans="1:3" x14ac:dyDescent="0.3">
      <c r="A13" s="59">
        <f>IF(ISBLANK(B13),"",SUBTOTAL(3, $B$2:B13))</f>
        <v>12</v>
      </c>
      <c r="B13" s="59">
        <v>150</v>
      </c>
      <c r="C13" s="59">
        <v>150</v>
      </c>
    </row>
    <row r="14" spans="1:3" x14ac:dyDescent="0.3">
      <c r="A14" s="59">
        <f>IF(ISBLANK(B14),"",SUBTOTAL(3, $B$2:B14))</f>
        <v>13</v>
      </c>
      <c r="B14" s="59">
        <v>160</v>
      </c>
      <c r="C14" s="59">
        <v>160</v>
      </c>
    </row>
    <row r="15" spans="1:3" x14ac:dyDescent="0.3">
      <c r="A15" s="59">
        <f>IF(ISBLANK(B15),"",SUBTOTAL(3, $B$2:B15))</f>
        <v>14</v>
      </c>
      <c r="B15" s="59">
        <v>170</v>
      </c>
      <c r="C15" s="59">
        <v>170</v>
      </c>
    </row>
    <row r="16" spans="1:3" x14ac:dyDescent="0.3">
      <c r="A16" s="59">
        <f>IF(ISBLANK(B16),"",SUBTOTAL(3, $B$2:B16))</f>
        <v>15</v>
      </c>
      <c r="B16" s="59">
        <v>180</v>
      </c>
      <c r="C16" s="59">
        <v>180</v>
      </c>
    </row>
    <row r="17" spans="1:3" x14ac:dyDescent="0.3">
      <c r="A17" s="59">
        <f>IF(ISBLANK(B17),"",SUBTOTAL(3, $B$2:B17))</f>
        <v>16</v>
      </c>
      <c r="B17" s="59">
        <v>190</v>
      </c>
      <c r="C17" s="59">
        <v>190</v>
      </c>
    </row>
    <row r="18" spans="1:3" x14ac:dyDescent="0.3">
      <c r="A18" s="59">
        <f>IF(ISBLANK(B18),"",SUBTOTAL(3, $B$2:B18))</f>
        <v>17</v>
      </c>
      <c r="B18" s="59">
        <v>200</v>
      </c>
      <c r="C18" s="59">
        <v>200</v>
      </c>
    </row>
    <row r="19" spans="1:3" x14ac:dyDescent="0.3">
      <c r="A19" s="59">
        <f>IF(ISBLANK(B19),"",SUBTOTAL(3, $B$2:B19))</f>
        <v>18</v>
      </c>
      <c r="B19" s="59">
        <v>200</v>
      </c>
      <c r="C19" s="59">
        <v>260</v>
      </c>
    </row>
    <row r="20" spans="1:3" x14ac:dyDescent="0.3">
      <c r="A20" s="59">
        <f>IF(ISBLANK(B20),"",SUBTOTAL(3, $B$2:B20))</f>
        <v>19</v>
      </c>
      <c r="B20" s="59">
        <v>230</v>
      </c>
      <c r="C20" s="59">
        <v>230</v>
      </c>
    </row>
    <row r="21" spans="1:3" x14ac:dyDescent="0.3">
      <c r="A21" s="59">
        <f>IF(ISBLANK(B21),"",SUBTOTAL(3, $B$2:B21))</f>
        <v>20</v>
      </c>
      <c r="B21" s="59">
        <v>240</v>
      </c>
      <c r="C21" s="59">
        <v>240</v>
      </c>
    </row>
    <row r="22" spans="1:3" x14ac:dyDescent="0.3">
      <c r="A22" s="59">
        <f>IF(ISBLANK(B22),"",SUBTOTAL(3, $B$2:B22))</f>
        <v>21</v>
      </c>
      <c r="B22" s="59">
        <v>250</v>
      </c>
      <c r="C22" s="59">
        <v>250</v>
      </c>
    </row>
    <row r="23" spans="1:3" x14ac:dyDescent="0.3">
      <c r="A23" s="59">
        <f>IF(ISBLANK(B23),"",SUBTOTAL(3, $B$2:B23))</f>
        <v>22</v>
      </c>
      <c r="B23" s="59">
        <v>300</v>
      </c>
      <c r="C23" s="59">
        <v>300</v>
      </c>
    </row>
    <row r="24" spans="1:3" x14ac:dyDescent="0.3">
      <c r="A24" s="59" t="str">
        <f>IF(ISBLANK(B24),"",SUBTOTAL(3, $B$2:B24))</f>
        <v/>
      </c>
    </row>
    <row r="25" spans="1:3" x14ac:dyDescent="0.3">
      <c r="A25" s="59" t="str">
        <f>IF(ISBLANK(B25),"",SUBTOTAL(3, $B$2:B25))</f>
        <v/>
      </c>
    </row>
    <row r="26" spans="1:3" x14ac:dyDescent="0.3">
      <c r="A26" s="59" t="str">
        <f>IF(ISBLANK(B26),"",SUBTOTAL(3, $B$2:B26))</f>
        <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35"/>
  <sheetViews>
    <sheetView topLeftCell="A15" workbookViewId="0">
      <selection activeCell="G33" sqref="G33"/>
    </sheetView>
  </sheetViews>
  <sheetFormatPr defaultRowHeight="14.4" x14ac:dyDescent="0.3"/>
  <cols>
    <col min="1" max="1" width="6" style="59" customWidth="1"/>
    <col min="2" max="2" width="17.109375" customWidth="1"/>
    <col min="3" max="3" width="15.33203125" customWidth="1"/>
  </cols>
  <sheetData>
    <row r="1" spans="1:3" ht="15.6" x14ac:dyDescent="0.3">
      <c r="A1" s="56" t="s">
        <v>18</v>
      </c>
      <c r="B1" s="68" t="s">
        <v>20</v>
      </c>
      <c r="C1" s="53" t="s">
        <v>37</v>
      </c>
    </row>
    <row r="2" spans="1:3" x14ac:dyDescent="0.3">
      <c r="A2" s="59">
        <f>IF(ISBLANK(B2),"",SUBTOTAL(3, $B$2:B2))</f>
        <v>1</v>
      </c>
      <c r="B2" s="55">
        <v>20</v>
      </c>
      <c r="C2" s="54">
        <v>40</v>
      </c>
    </row>
    <row r="3" spans="1:3" x14ac:dyDescent="0.3">
      <c r="A3" s="59">
        <f>IF(ISBLANK(B3),"",SUBTOTAL(3, $B$2:B3))</f>
        <v>2</v>
      </c>
      <c r="B3" s="55">
        <v>30</v>
      </c>
      <c r="C3" s="54">
        <v>55</v>
      </c>
    </row>
    <row r="4" spans="1:3" x14ac:dyDescent="0.3">
      <c r="A4" s="59">
        <f>IF(ISBLANK(B4),"",SUBTOTAL(3, $B$2:B4))</f>
        <v>3</v>
      </c>
      <c r="B4" s="55">
        <v>40</v>
      </c>
      <c r="C4" s="54">
        <v>75</v>
      </c>
    </row>
    <row r="5" spans="1:3" x14ac:dyDescent="0.3">
      <c r="A5" s="59">
        <f>IF(ISBLANK(B5),"",SUBTOTAL(3, $B$2:B5))</f>
        <v>4</v>
      </c>
      <c r="B5" s="55">
        <v>45</v>
      </c>
      <c r="C5" s="54">
        <v>85</v>
      </c>
    </row>
    <row r="6" spans="1:3" x14ac:dyDescent="0.3">
      <c r="A6" s="59">
        <f>IF(ISBLANK(B6),"",SUBTOTAL(3, $B$2:B6))</f>
        <v>5</v>
      </c>
      <c r="B6" s="55">
        <v>60</v>
      </c>
      <c r="C6" s="54">
        <v>115</v>
      </c>
    </row>
    <row r="7" spans="1:3" x14ac:dyDescent="0.3">
      <c r="A7" s="59">
        <f>IF(ISBLANK(B7),"",SUBTOTAL(3, $B$2:B7))</f>
        <v>6</v>
      </c>
      <c r="B7" s="55">
        <v>70</v>
      </c>
      <c r="C7" s="54">
        <v>135</v>
      </c>
    </row>
    <row r="8" spans="1:3" x14ac:dyDescent="0.3">
      <c r="A8" s="59">
        <f>IF(ISBLANK(B8),"",SUBTOTAL(3, $B$2:B8))</f>
        <v>7</v>
      </c>
      <c r="B8" s="55">
        <v>80</v>
      </c>
      <c r="C8" s="54">
        <v>150</v>
      </c>
    </row>
    <row r="9" spans="1:3" x14ac:dyDescent="0.3">
      <c r="A9" s="59">
        <f>IF(ISBLANK(B9),"",SUBTOTAL(3, $B$2:B9))</f>
        <v>8</v>
      </c>
      <c r="B9" s="55">
        <v>90</v>
      </c>
      <c r="C9" s="54">
        <v>170</v>
      </c>
    </row>
    <row r="10" spans="1:3" x14ac:dyDescent="0.3">
      <c r="A10" s="59">
        <f>IF(ISBLANK(B10),"",SUBTOTAL(3, $B$2:B10))</f>
        <v>9</v>
      </c>
      <c r="B10" s="55">
        <v>100</v>
      </c>
      <c r="C10" s="54">
        <v>190</v>
      </c>
    </row>
    <row r="11" spans="1:3" x14ac:dyDescent="0.3">
      <c r="A11" s="59">
        <f>IF(ISBLANK(B11),"",SUBTOTAL(3, $B$2:B11))</f>
        <v>10</v>
      </c>
      <c r="B11" s="55">
        <v>120</v>
      </c>
      <c r="C11" s="54">
        <v>225</v>
      </c>
    </row>
    <row r="12" spans="1:3" x14ac:dyDescent="0.3">
      <c r="A12" s="59">
        <f>IF(ISBLANK(B12),"",SUBTOTAL(3, $B$2:B12))</f>
        <v>11</v>
      </c>
      <c r="B12" s="55">
        <v>125</v>
      </c>
      <c r="C12" s="54">
        <v>235</v>
      </c>
    </row>
    <row r="13" spans="1:3" x14ac:dyDescent="0.3">
      <c r="A13" s="59">
        <f>IF(ISBLANK(B13),"",SUBTOTAL(3, $B$2:B13))</f>
        <v>12</v>
      </c>
      <c r="B13" s="55">
        <v>130</v>
      </c>
      <c r="C13" s="54">
        <v>245</v>
      </c>
    </row>
    <row r="14" spans="1:3" x14ac:dyDescent="0.3">
      <c r="A14" s="59">
        <f>IF(ISBLANK(B14),"",SUBTOTAL(3, $B$2:B14))</f>
        <v>13</v>
      </c>
      <c r="B14" s="55">
        <v>140</v>
      </c>
      <c r="C14" s="54">
        <v>265</v>
      </c>
    </row>
    <row r="15" spans="1:3" x14ac:dyDescent="0.3">
      <c r="A15" s="59">
        <f>IF(ISBLANK(B15),"",SUBTOTAL(3, $B$2:B15))</f>
        <v>14</v>
      </c>
      <c r="B15" s="55">
        <v>160</v>
      </c>
      <c r="C15" s="54">
        <v>300</v>
      </c>
    </row>
    <row r="16" spans="1:3" x14ac:dyDescent="0.3">
      <c r="A16" s="59">
        <f>IF(ISBLANK(B16),"",SUBTOTAL(3, $B$2:B16))</f>
        <v>15</v>
      </c>
      <c r="B16" s="55">
        <v>170</v>
      </c>
      <c r="C16" s="54">
        <v>320</v>
      </c>
    </row>
    <row r="17" spans="1:3" x14ac:dyDescent="0.3">
      <c r="A17" s="59">
        <f>IF(ISBLANK(B17),"",SUBTOTAL(3, $B$2:B17))</f>
        <v>16</v>
      </c>
      <c r="B17" s="55">
        <v>180</v>
      </c>
      <c r="C17" s="54">
        <v>340</v>
      </c>
    </row>
    <row r="18" spans="1:3" x14ac:dyDescent="0.3">
      <c r="A18" s="59">
        <f>IF(ISBLANK(B18),"",SUBTOTAL(3, $B$2:B18))</f>
        <v>17</v>
      </c>
      <c r="B18" s="55">
        <v>185</v>
      </c>
      <c r="C18" s="54">
        <v>350</v>
      </c>
    </row>
    <row r="19" spans="1:3" x14ac:dyDescent="0.3">
      <c r="A19" s="59">
        <f>IF(ISBLANK(B19),"",SUBTOTAL(3, $B$2:B19))</f>
        <v>18</v>
      </c>
      <c r="B19" s="55">
        <v>190</v>
      </c>
      <c r="C19" s="54">
        <v>360</v>
      </c>
    </row>
    <row r="20" spans="1:3" x14ac:dyDescent="0.3">
      <c r="A20" s="59">
        <f>IF(ISBLANK(B20),"",SUBTOTAL(3, $B$2:B20))</f>
        <v>19</v>
      </c>
      <c r="B20" s="55">
        <v>200</v>
      </c>
      <c r="C20" s="54">
        <v>365</v>
      </c>
    </row>
    <row r="21" spans="1:3" x14ac:dyDescent="0.3">
      <c r="A21" s="59">
        <f>IF(ISBLANK(B21),"",SUBTOTAL(3, $B$2:B21))</f>
        <v>20</v>
      </c>
      <c r="B21" s="55">
        <v>230</v>
      </c>
      <c r="C21" s="54">
        <v>425</v>
      </c>
    </row>
    <row r="22" spans="1:3" x14ac:dyDescent="0.3">
      <c r="A22" s="59">
        <f>IF(ISBLANK(B22),"",SUBTOTAL(3, $B$2:B22))</f>
        <v>21</v>
      </c>
      <c r="B22" s="55">
        <v>240</v>
      </c>
      <c r="C22" s="54">
        <v>445</v>
      </c>
    </row>
    <row r="23" spans="1:3" x14ac:dyDescent="0.3">
      <c r="A23" s="59">
        <f>IF(ISBLANK(B23),"",SUBTOTAL(3, $B$2:B23))</f>
        <v>22</v>
      </c>
      <c r="B23" s="55">
        <v>250</v>
      </c>
      <c r="C23" s="54">
        <v>475</v>
      </c>
    </row>
    <row r="24" spans="1:3" x14ac:dyDescent="0.3">
      <c r="A24" s="59">
        <f>IF(ISBLANK(B24),"",SUBTOTAL(3, $B$2:B24))</f>
        <v>23</v>
      </c>
      <c r="B24" s="55">
        <v>300</v>
      </c>
      <c r="C24" s="54">
        <v>570</v>
      </c>
    </row>
    <row r="25" spans="1:3" x14ac:dyDescent="0.3">
      <c r="A25" s="59">
        <f>IF(ISBLANK(B25),"",SUBTOTAL(3, $B$2:B25))</f>
        <v>24</v>
      </c>
      <c r="B25" s="55" t="s">
        <v>54</v>
      </c>
      <c r="C25" s="54">
        <v>600</v>
      </c>
    </row>
    <row r="26" spans="1:3" x14ac:dyDescent="0.3">
      <c r="A26" s="59">
        <f>IF(ISBLANK(B26),"",SUBTOTAL(3, $B$2:B26))</f>
        <v>25</v>
      </c>
      <c r="B26" s="55" t="s">
        <v>75</v>
      </c>
      <c r="C26" s="54">
        <v>650</v>
      </c>
    </row>
    <row r="27" spans="1:3" x14ac:dyDescent="0.3">
      <c r="A27" s="59">
        <f>IF(ISBLANK(B27),"",SUBTOTAL(3, $B$2:B27))</f>
        <v>26</v>
      </c>
      <c r="B27" s="55" t="s">
        <v>77</v>
      </c>
      <c r="C27" s="54">
        <v>700</v>
      </c>
    </row>
    <row r="28" spans="1:3" x14ac:dyDescent="0.3">
      <c r="A28" s="59">
        <f>IF(ISBLANK(B28),"",SUBTOTAL(3, $B$2:B28))</f>
        <v>27</v>
      </c>
      <c r="B28" s="55" t="s">
        <v>76</v>
      </c>
      <c r="C28" s="54">
        <v>750</v>
      </c>
    </row>
    <row r="29" spans="1:3" x14ac:dyDescent="0.3">
      <c r="A29" s="59">
        <f>IF(ISBLANK(B29),"",SUBTOTAL(3, $B$2:B29))</f>
        <v>28</v>
      </c>
      <c r="B29" s="55" t="s">
        <v>38</v>
      </c>
      <c r="C29" s="54">
        <v>800</v>
      </c>
    </row>
    <row r="30" spans="1:3" x14ac:dyDescent="0.3">
      <c r="A30" s="59">
        <f>IF(ISBLANK(B30),"",SUBTOTAL(3, $B$2:B30))</f>
        <v>29</v>
      </c>
      <c r="B30" s="55" t="s">
        <v>39</v>
      </c>
      <c r="C30" s="54">
        <v>925</v>
      </c>
    </row>
    <row r="31" spans="1:3" x14ac:dyDescent="0.3">
      <c r="A31" s="59">
        <f>IF(ISBLANK(B31),"",SUBTOTAL(3, $B$2:B31))</f>
        <v>30</v>
      </c>
      <c r="B31" s="55" t="s">
        <v>41</v>
      </c>
      <c r="C31" s="54">
        <v>1000</v>
      </c>
    </row>
    <row r="32" spans="1:3" x14ac:dyDescent="0.3">
      <c r="A32" s="59">
        <f>IF(ISBLANK(B32),"",SUBTOTAL(3, $B$2:B32))</f>
        <v>31</v>
      </c>
      <c r="B32" s="55" t="s">
        <v>79</v>
      </c>
      <c r="C32" s="54">
        <v>450</v>
      </c>
    </row>
    <row r="33" spans="1:3" x14ac:dyDescent="0.3">
      <c r="A33" s="59" t="str">
        <f>IF(ISBLANK(B33),"",SUBTOTAL(3, $B$2:B33))</f>
        <v/>
      </c>
      <c r="B33" s="55"/>
      <c r="C33" s="54"/>
    </row>
    <row r="34" spans="1:3" x14ac:dyDescent="0.3">
      <c r="A34" s="59" t="str">
        <f>IF(ISBLANK(B34),"",SUBTOTAL(3, $B$2:B34))</f>
        <v/>
      </c>
      <c r="B34" s="55"/>
      <c r="C34" s="54"/>
    </row>
    <row r="35" spans="1:3" x14ac:dyDescent="0.3">
      <c r="A35" s="59" t="str">
        <f>IF(ISBLANK(B35),"",SUBTOTAL(3, $B$2:B35))</f>
        <v/>
      </c>
      <c r="B35" s="55"/>
      <c r="C35" s="54"/>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3E51-718E-4FA4-957E-EBFF70261B52}">
  <dimension ref="A1:F36"/>
  <sheetViews>
    <sheetView workbookViewId="0">
      <selection activeCell="B18" sqref="B18"/>
    </sheetView>
  </sheetViews>
  <sheetFormatPr defaultRowHeight="14.4" x14ac:dyDescent="0.3"/>
  <cols>
    <col min="1" max="1" width="7.6640625" style="59" customWidth="1"/>
    <col min="2" max="2" width="13.44140625" style="57" customWidth="1"/>
  </cols>
  <sheetData>
    <row r="1" spans="1:6" x14ac:dyDescent="0.3">
      <c r="A1" s="59" t="s">
        <v>18</v>
      </c>
      <c r="B1" s="57" t="s">
        <v>84</v>
      </c>
    </row>
    <row r="2" spans="1:6" x14ac:dyDescent="0.3">
      <c r="A2" s="59">
        <f>IF(ISBLANK(B2),"",SUBTOTAL(3, $B$2:B2))</f>
        <v>1</v>
      </c>
      <c r="B2" s="65" t="s">
        <v>87</v>
      </c>
      <c r="F2" s="64"/>
    </row>
    <row r="3" spans="1:6" x14ac:dyDescent="0.3">
      <c r="A3" s="59">
        <f>IF(ISBLANK(B3),"",SUBTOTAL(3, $B$2:B3))</f>
        <v>2</v>
      </c>
      <c r="B3" s="65" t="s">
        <v>88</v>
      </c>
      <c r="F3" s="64"/>
    </row>
    <row r="4" spans="1:6" x14ac:dyDescent="0.3">
      <c r="A4" s="59">
        <f>IF(ISBLANK(B4),"",SUBTOTAL(3, $B$2:B4))</f>
        <v>3</v>
      </c>
      <c r="B4" s="65" t="s">
        <v>89</v>
      </c>
      <c r="F4" s="64"/>
    </row>
    <row r="5" spans="1:6" x14ac:dyDescent="0.3">
      <c r="A5" s="59">
        <f>IF(ISBLANK(B5),"",SUBTOTAL(3, $B$2:B5))</f>
        <v>4</v>
      </c>
      <c r="B5" s="65" t="s">
        <v>101</v>
      </c>
      <c r="F5" s="64"/>
    </row>
    <row r="6" spans="1:6" x14ac:dyDescent="0.3">
      <c r="A6" s="59">
        <f>IF(ISBLANK(B6),"",SUBTOTAL(3, $B$2:B6))</f>
        <v>5</v>
      </c>
      <c r="B6" s="65" t="s">
        <v>90</v>
      </c>
      <c r="F6" s="64"/>
    </row>
    <row r="7" spans="1:6" x14ac:dyDescent="0.3">
      <c r="A7" s="59">
        <f>IF(ISBLANK(B7),"",SUBTOTAL(3, $B$2:B7))</f>
        <v>6</v>
      </c>
      <c r="B7" s="65" t="s">
        <v>94</v>
      </c>
      <c r="F7" s="64"/>
    </row>
    <row r="8" spans="1:6" x14ac:dyDescent="0.3">
      <c r="A8" s="59">
        <f>IF(ISBLANK(B8),"",SUBTOTAL(3, $B$2:B8))</f>
        <v>7</v>
      </c>
      <c r="B8" s="65" t="s">
        <v>95</v>
      </c>
      <c r="F8" s="64"/>
    </row>
    <row r="9" spans="1:6" x14ac:dyDescent="0.3">
      <c r="A9" s="59">
        <f>IF(ISBLANK(B9),"",SUBTOTAL(3, $B$2:B9))</f>
        <v>8</v>
      </c>
      <c r="B9" s="65" t="s">
        <v>80</v>
      </c>
    </row>
    <row r="10" spans="1:6" x14ac:dyDescent="0.3">
      <c r="A10" s="59">
        <f>IF(ISBLANK(B10),"",SUBTOTAL(3, $B$2:B10))</f>
        <v>9</v>
      </c>
      <c r="B10" s="65" t="s">
        <v>106</v>
      </c>
    </row>
    <row r="11" spans="1:6" x14ac:dyDescent="0.3">
      <c r="A11" s="59">
        <f>IF(ISBLANK(B11),"",SUBTOTAL(3, $B$2:B11))</f>
        <v>10</v>
      </c>
      <c r="B11" s="65" t="s">
        <v>92</v>
      </c>
    </row>
    <row r="12" spans="1:6" x14ac:dyDescent="0.3">
      <c r="A12" s="59">
        <f>IF(ISBLANK(B12),"",SUBTOTAL(3, $B$2:B12))</f>
        <v>11</v>
      </c>
      <c r="B12" s="65" t="s">
        <v>93</v>
      </c>
    </row>
    <row r="13" spans="1:6" x14ac:dyDescent="0.3">
      <c r="A13" s="59">
        <f>IF(ISBLANK(B13),"",SUBTOTAL(3, $B$2:B13))</f>
        <v>12</v>
      </c>
      <c r="B13" s="65" t="s">
        <v>100</v>
      </c>
    </row>
    <row r="14" spans="1:6" x14ac:dyDescent="0.3">
      <c r="A14" s="59">
        <f>IF(ISBLANK(B14),"",SUBTOTAL(3, $B$2:B14))</f>
        <v>13</v>
      </c>
      <c r="B14" s="65" t="s">
        <v>81</v>
      </c>
    </row>
    <row r="15" spans="1:6" x14ac:dyDescent="0.3">
      <c r="A15" s="59">
        <f>IF(ISBLANK(B15),"",SUBTOTAL(3, $B$2:B15))</f>
        <v>14</v>
      </c>
      <c r="B15" s="65" t="s">
        <v>96</v>
      </c>
      <c r="F15" s="64"/>
    </row>
    <row r="16" spans="1:6" x14ac:dyDescent="0.3">
      <c r="A16" s="59">
        <f>IF(ISBLANK(B16),"",SUBTOTAL(3, $B$2:B16))</f>
        <v>15</v>
      </c>
      <c r="B16" s="66" t="s">
        <v>104</v>
      </c>
      <c r="F16" s="64"/>
    </row>
    <row r="17" spans="1:6" x14ac:dyDescent="0.3">
      <c r="A17" s="59">
        <f>IF(ISBLANK(B17),"",SUBTOTAL(3, $B$2:B17))</f>
        <v>16</v>
      </c>
      <c r="B17" s="65" t="s">
        <v>82</v>
      </c>
      <c r="F17" s="64"/>
    </row>
    <row r="18" spans="1:6" x14ac:dyDescent="0.3">
      <c r="A18" s="59">
        <f>IF(ISBLANK(B18),"",SUBTOTAL(3, $B$2:B18))</f>
        <v>17</v>
      </c>
      <c r="B18" s="65" t="s">
        <v>83</v>
      </c>
      <c r="F18" s="64"/>
    </row>
    <row r="19" spans="1:6" x14ac:dyDescent="0.3">
      <c r="A19" s="59">
        <f>IF(ISBLANK(B19),"",SUBTOTAL(3, $B$2:B19))</f>
        <v>18</v>
      </c>
      <c r="B19" s="65" t="s">
        <v>102</v>
      </c>
      <c r="F19" s="64"/>
    </row>
    <row r="20" spans="1:6" x14ac:dyDescent="0.3">
      <c r="A20" s="59">
        <f>IF(ISBLANK(B20),"",SUBTOTAL(3, $B$2:B20))</f>
        <v>19</v>
      </c>
      <c r="B20" s="65" t="s">
        <v>85</v>
      </c>
      <c r="F20" s="64"/>
    </row>
    <row r="21" spans="1:6" x14ac:dyDescent="0.3">
      <c r="A21" s="59">
        <f>IF(ISBLANK(B21),"",SUBTOTAL(3, $B$2:B21))</f>
        <v>20</v>
      </c>
      <c r="B21" s="65" t="s">
        <v>86</v>
      </c>
      <c r="F21" s="64"/>
    </row>
    <row r="22" spans="1:6" x14ac:dyDescent="0.3">
      <c r="A22" s="59">
        <f>IF(ISBLANK(B22),"",SUBTOTAL(3, $B$2:B22))</f>
        <v>21</v>
      </c>
      <c r="B22" s="65" t="s">
        <v>91</v>
      </c>
    </row>
    <row r="23" spans="1:6" x14ac:dyDescent="0.3">
      <c r="A23" s="59">
        <f>IF(ISBLANK(B23),"",SUBTOTAL(3, $B$2:B23))</f>
        <v>22</v>
      </c>
      <c r="B23" s="65" t="s">
        <v>105</v>
      </c>
    </row>
    <row r="24" spans="1:6" x14ac:dyDescent="0.3">
      <c r="A24" s="59">
        <f>IF(ISBLANK(B24),"",SUBTOTAL(3, $B$2:B24))</f>
        <v>23</v>
      </c>
      <c r="B24" s="66" t="s">
        <v>103</v>
      </c>
    </row>
    <row r="25" spans="1:6" x14ac:dyDescent="0.3">
      <c r="A25" s="59">
        <f>IF(ISBLANK(B25),"",SUBTOTAL(3, $B$2:B25))</f>
        <v>24</v>
      </c>
      <c r="B25" s="65" t="s">
        <v>97</v>
      </c>
    </row>
    <row r="26" spans="1:6" x14ac:dyDescent="0.3">
      <c r="A26" s="59">
        <f>IF(ISBLANK(B26),"",SUBTOTAL(3, $B$2:B26))</f>
        <v>25</v>
      </c>
      <c r="B26" s="65" t="s">
        <v>54</v>
      </c>
    </row>
    <row r="27" spans="1:6" x14ac:dyDescent="0.3">
      <c r="A27" s="59">
        <f>IF(ISBLANK(B27),"",SUBTOTAL(3, $B$2:B27))</f>
        <v>26</v>
      </c>
      <c r="B27" s="65" t="s">
        <v>75</v>
      </c>
    </row>
    <row r="28" spans="1:6" x14ac:dyDescent="0.3">
      <c r="A28" s="59">
        <f>IF(ISBLANK(B28),"",SUBTOTAL(3, $B$2:B28))</f>
        <v>27</v>
      </c>
      <c r="B28" s="65" t="s">
        <v>76</v>
      </c>
    </row>
    <row r="29" spans="1:6" x14ac:dyDescent="0.3">
      <c r="A29" s="59">
        <f>IF(ISBLANK(B29),"",SUBTOTAL(3, $B$2:B29))</f>
        <v>28</v>
      </c>
      <c r="B29" s="65" t="s">
        <v>38</v>
      </c>
    </row>
    <row r="30" spans="1:6" x14ac:dyDescent="0.3">
      <c r="A30" s="59">
        <f>IF(ISBLANK(B30),"",SUBTOTAL(3, $B$2:B30))</f>
        <v>29</v>
      </c>
      <c r="B30" s="65" t="s">
        <v>39</v>
      </c>
    </row>
    <row r="31" spans="1:6" x14ac:dyDescent="0.3">
      <c r="A31" s="59">
        <f>IF(ISBLANK(B31),"",SUBTOTAL(3, $B$2:B31))</f>
        <v>30</v>
      </c>
      <c r="B31" s="65" t="s">
        <v>41</v>
      </c>
    </row>
    <row r="32" spans="1:6" x14ac:dyDescent="0.3">
      <c r="A32" s="59">
        <f>IF(ISBLANK(B32),"",SUBTOTAL(3, $B$2:B32))</f>
        <v>31</v>
      </c>
      <c r="B32" s="65" t="s">
        <v>98</v>
      </c>
    </row>
    <row r="33" spans="1:2" x14ac:dyDescent="0.3">
      <c r="A33" s="59">
        <f>IF(ISBLANK(B33),"",SUBTOTAL(3, $B$2:B33))</f>
        <v>32</v>
      </c>
      <c r="B33" s="65" t="s">
        <v>99</v>
      </c>
    </row>
    <row r="34" spans="1:2" x14ac:dyDescent="0.3">
      <c r="A34" s="59">
        <f>IF(ISBLANK(B34),"",SUBTOTAL(3, $B$2:B34))</f>
        <v>33</v>
      </c>
      <c r="B34" s="65" t="s">
        <v>79</v>
      </c>
    </row>
    <row r="35" spans="1:2" x14ac:dyDescent="0.3">
      <c r="A35" s="59" t="str">
        <f>IF(ISBLANK(B35),"",SUBTOTAL(3, $B$2:B35))</f>
        <v/>
      </c>
      <c r="B35" s="66"/>
    </row>
    <row r="36" spans="1:2" x14ac:dyDescent="0.3">
      <c r="A36"/>
      <c r="B36"/>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ayfa2">
    <tabColor rgb="FF0070C0"/>
  </sheetPr>
  <dimension ref="B1:J113"/>
  <sheetViews>
    <sheetView zoomScaleNormal="100" workbookViewId="0">
      <pane ySplit="2" topLeftCell="A3" activePane="bottomLeft" state="frozen"/>
      <selection activeCell="F31" sqref="F31"/>
      <selection pane="bottomLeft" activeCell="H3" sqref="H3"/>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6" width="5.5546875" style="49" customWidth="1"/>
    <col min="7" max="7" width="4.33203125" style="49" customWidth="1"/>
    <col min="8" max="8" width="8.44140625" style="3" customWidth="1"/>
    <col min="9" max="9" width="9.33203125" style="3" customWidth="1"/>
    <col min="10" max="10" width="9.6640625" bestFit="1" customWidth="1"/>
    <col min="11" max="11" width="7.33203125" customWidth="1"/>
  </cols>
  <sheetData>
    <row r="1" spans="2:10" ht="90.6" customHeight="1" thickBot="1" x14ac:dyDescent="0.35"/>
    <row r="2" spans="2:10" ht="46.2" customHeight="1" thickTop="1" thickBot="1" x14ac:dyDescent="0.35">
      <c r="B2" s="37" t="s">
        <v>18</v>
      </c>
      <c r="C2" s="38" t="s">
        <v>17</v>
      </c>
      <c r="D2" s="39" t="s">
        <v>51</v>
      </c>
      <c r="E2" s="40" t="s">
        <v>57</v>
      </c>
      <c r="F2" s="40" t="s">
        <v>58</v>
      </c>
      <c r="G2" s="41" t="s">
        <v>0</v>
      </c>
      <c r="H2" s="50" t="s">
        <v>1</v>
      </c>
      <c r="I2" s="44" t="s">
        <v>2</v>
      </c>
      <c r="J2" s="14" t="s">
        <v>43</v>
      </c>
    </row>
    <row r="3" spans="2:10" ht="15.6" thickTop="1" thickBot="1" x14ac:dyDescent="0.35">
      <c r="B3" s="15" t="str">
        <f>IF(ISBLANK(C3),"",SUBTOTAL(3, $C$3:C3))</f>
        <v/>
      </c>
      <c r="C3" s="31"/>
      <c r="D3" s="16"/>
      <c r="E3" s="17"/>
      <c r="F3" s="17"/>
      <c r="G3" s="17"/>
      <c r="H3" s="42" t="str">
        <f>IF(ISBLANK(Sacak[[#This Row],[En]]),"",VLOOKUP(Sacak[[#This Row],[En]],Fiyat[[Ölçü]:[Birim Fiyatı]],2,0))</f>
        <v/>
      </c>
      <c r="I3" s="42" t="str">
        <f>IF(ISBLANK(Sacak[[#This Row],[En]]),"",G3*H3)</f>
        <v/>
      </c>
      <c r="J3" s="43" t="str">
        <f>IF(ISBLANK(Sacak[[#This Row],[En]]),"",SUMIF(Sacak[Adı Soyadı],Sacak[[#This Row],[Adı Soyadı]],Sacak[TUTAR]))</f>
        <v/>
      </c>
    </row>
    <row r="4" spans="2:10" ht="15.6" thickTop="1" thickBot="1" x14ac:dyDescent="0.35">
      <c r="B4" s="15" t="str">
        <f>IF(ISBLANK(C4),"",SUBTOTAL(3, $C$3:C4))</f>
        <v/>
      </c>
      <c r="C4" s="31"/>
      <c r="D4" s="16"/>
      <c r="E4" s="17"/>
      <c r="F4" s="17"/>
      <c r="G4" s="17"/>
      <c r="H4" s="42" t="str">
        <f>IF(ISBLANK(Sacak[[#This Row],[En]]),"",VLOOKUP(Sacak[[#This Row],[En]],Fiyat[[Ölçü]:[Birim Fiyatı]],2,0))</f>
        <v/>
      </c>
      <c r="I4" s="42" t="str">
        <f>IF(ISBLANK(Sacak[[#This Row],[En]]),"",G4*H4)</f>
        <v/>
      </c>
      <c r="J4" s="43" t="str">
        <f>IF(ISBLANK(Sacak[[#This Row],[En]]),"",SUMIF(Sacak[Adı Soyadı],Sacak[[#This Row],[Adı Soyadı]],Sacak[TUTAR]))</f>
        <v/>
      </c>
    </row>
    <row r="5" spans="2:10" ht="15.6" thickTop="1" thickBot="1" x14ac:dyDescent="0.35">
      <c r="B5" s="15" t="str">
        <f>IF(ISBLANK(C5),"",SUBTOTAL(3, $C$3:C5))</f>
        <v/>
      </c>
      <c r="C5" s="31"/>
      <c r="D5" s="16"/>
      <c r="E5" s="17"/>
      <c r="F5" s="17"/>
      <c r="G5" s="17"/>
      <c r="H5" s="42" t="str">
        <f>IF(ISBLANK(Sacak[[#This Row],[En]]),"",VLOOKUP(Sacak[[#This Row],[En]],Fiyat[[Ölçü]:[Birim Fiyatı]],2,0))</f>
        <v/>
      </c>
      <c r="I5" s="42" t="str">
        <f>IF(ISBLANK(Sacak[[#This Row],[En]]),"",G5*H5)</f>
        <v/>
      </c>
      <c r="J5" s="43" t="str">
        <f>IF(ISBLANK(Sacak[[#This Row],[En]]),"",SUMIF(Sacak[Adı Soyadı],Sacak[[#This Row],[Adı Soyadı]],Sacak[TUTAR]))</f>
        <v/>
      </c>
    </row>
    <row r="6" spans="2:10" ht="15.6" thickTop="1" thickBot="1" x14ac:dyDescent="0.35">
      <c r="B6" s="15" t="str">
        <f>IF(ISBLANK(C6),"",SUBTOTAL(3, $C$3:C6))</f>
        <v/>
      </c>
      <c r="C6" s="31"/>
      <c r="D6" s="16"/>
      <c r="E6" s="17"/>
      <c r="F6" s="17"/>
      <c r="G6" s="17"/>
      <c r="H6" s="42" t="str">
        <f>IF(ISBLANK(Sacak[[#This Row],[En]]),"",VLOOKUP(Sacak[[#This Row],[En]],Fiyat[[Ölçü]:[Birim Fiyatı]],2,0))</f>
        <v/>
      </c>
      <c r="I6" s="42" t="str">
        <f>IF(ISBLANK(Sacak[[#This Row],[En]]),"",G6*H6)</f>
        <v/>
      </c>
      <c r="J6" s="43" t="str">
        <f>IF(ISBLANK(Sacak[[#This Row],[En]]),"",SUMIF(Sacak[Adı Soyadı],Sacak[[#This Row],[Adı Soyadı]],Sacak[TUTAR]))</f>
        <v/>
      </c>
    </row>
    <row r="7" spans="2:10" ht="15.6" thickTop="1" thickBot="1" x14ac:dyDescent="0.35">
      <c r="B7" s="15" t="str">
        <f>IF(ISBLANK(C7),"",SUBTOTAL(3, $C$3:C7))</f>
        <v/>
      </c>
      <c r="C7" s="31"/>
      <c r="D7" s="16"/>
      <c r="E7" s="17"/>
      <c r="F7" s="17"/>
      <c r="G7" s="17"/>
      <c r="H7" s="42" t="str">
        <f>IF(ISBLANK(Sacak[[#This Row],[En]]),"",VLOOKUP(Sacak[[#This Row],[En]],Fiyat[[Ölçü]:[Birim Fiyatı]],2,0))</f>
        <v/>
      </c>
      <c r="I7" s="42" t="str">
        <f>IF(ISBLANK(Sacak[[#This Row],[En]]),"",G7*H7)</f>
        <v/>
      </c>
      <c r="J7" s="43" t="str">
        <f>IF(ISBLANK(Sacak[[#This Row],[En]]),"",SUMIF(Sacak[Adı Soyadı],Sacak[[#This Row],[Adı Soyadı]],Sacak[TUTAR]))</f>
        <v/>
      </c>
    </row>
    <row r="8" spans="2:10" ht="15.6" thickTop="1" thickBot="1" x14ac:dyDescent="0.35">
      <c r="B8" s="15" t="str">
        <f>IF(ISBLANK(C8),"",SUBTOTAL(3, $C$3:C8))</f>
        <v/>
      </c>
      <c r="C8" s="31"/>
      <c r="D8" s="16"/>
      <c r="E8" s="17"/>
      <c r="F8" s="17"/>
      <c r="G8" s="17"/>
      <c r="H8" s="42" t="str">
        <f>IF(ISBLANK(Sacak[[#This Row],[En]]),"",VLOOKUP(Sacak[[#This Row],[En]],Fiyat[[Ölçü]:[Birim Fiyatı]],2,0))</f>
        <v/>
      </c>
      <c r="I8" s="42" t="str">
        <f>IF(ISBLANK(Sacak[[#This Row],[En]]),"",G8*H8)</f>
        <v/>
      </c>
      <c r="J8" s="43" t="str">
        <f>IF(ISBLANK(Sacak[[#This Row],[En]]),"",SUMIF(Sacak[Adı Soyadı],Sacak[[#This Row],[Adı Soyadı]],Sacak[TUTAR]))</f>
        <v/>
      </c>
    </row>
    <row r="9" spans="2:10" ht="15.6" thickTop="1" thickBot="1" x14ac:dyDescent="0.35">
      <c r="B9" s="15" t="str">
        <f>IF(ISBLANK(C9),"",SUBTOTAL(3, $C$3:C9))</f>
        <v/>
      </c>
      <c r="C9" s="31"/>
      <c r="D9" s="16"/>
      <c r="E9" s="17"/>
      <c r="F9" s="17"/>
      <c r="G9" s="17"/>
      <c r="H9" s="42" t="str">
        <f>IF(ISBLANK(Sacak[[#This Row],[En]]),"",VLOOKUP(Sacak[[#This Row],[En]],Fiyat[[Ölçü]:[Birim Fiyatı]],2,0))</f>
        <v/>
      </c>
      <c r="I9" s="42" t="str">
        <f>IF(ISBLANK(Sacak[[#This Row],[En]]),"",G9*H9)</f>
        <v/>
      </c>
      <c r="J9" s="43" t="str">
        <f>IF(ISBLANK(Sacak[[#This Row],[En]]),"",SUMIF(Sacak[Adı Soyadı],Sacak[[#This Row],[Adı Soyadı]],Sacak[TUTAR]))</f>
        <v/>
      </c>
    </row>
    <row r="10" spans="2:10" ht="15.6" thickTop="1" thickBot="1" x14ac:dyDescent="0.35">
      <c r="B10" s="15" t="str">
        <f>IF(ISBLANK(C10),"",SUBTOTAL(3, $C$3:C10))</f>
        <v/>
      </c>
      <c r="C10" s="31"/>
      <c r="D10" s="16"/>
      <c r="E10" s="17"/>
      <c r="F10" s="17"/>
      <c r="G10" s="17"/>
      <c r="H10" s="42" t="str">
        <f>IF(ISBLANK(Sacak[[#This Row],[En]]),"",VLOOKUP(Sacak[[#This Row],[En]],Fiyat[[Ölçü]:[Birim Fiyatı]],2,0))</f>
        <v/>
      </c>
      <c r="I10" s="42" t="str">
        <f>IF(ISBLANK(Sacak[[#This Row],[En]]),"",G10*H10)</f>
        <v/>
      </c>
      <c r="J10" s="43" t="str">
        <f>IF(ISBLANK(Sacak[[#This Row],[En]]),"",SUMIF(Sacak[Adı Soyadı],Sacak[[#This Row],[Adı Soyadı]],Sacak[TUTAR]))</f>
        <v/>
      </c>
    </row>
    <row r="11" spans="2:10" ht="15.6" thickTop="1" thickBot="1" x14ac:dyDescent="0.35">
      <c r="B11" s="15" t="str">
        <f>IF(ISBLANK(C11),"",SUBTOTAL(3, $C$3:C11))</f>
        <v/>
      </c>
      <c r="C11" s="31"/>
      <c r="D11" s="16"/>
      <c r="E11" s="17"/>
      <c r="F11" s="17"/>
      <c r="G11" s="17"/>
      <c r="H11" s="42" t="str">
        <f>IF(ISBLANK(Sacak[[#This Row],[En]]),"",VLOOKUP(Sacak[[#This Row],[En]],Fiyat[[Ölçü]:[Birim Fiyatı]],2,0))</f>
        <v/>
      </c>
      <c r="I11" s="42" t="str">
        <f>IF(ISBLANK(Sacak[[#This Row],[En]]),"",G11*H11)</f>
        <v/>
      </c>
      <c r="J11" s="43" t="str">
        <f>IF(ISBLANK(Sacak[[#This Row],[En]]),"",SUMIF(Sacak[Adı Soyadı],Sacak[[#This Row],[Adı Soyadı]],Sacak[TUTAR]))</f>
        <v/>
      </c>
    </row>
    <row r="12" spans="2:10" ht="15.6" thickTop="1" thickBot="1" x14ac:dyDescent="0.35">
      <c r="B12" s="15" t="str">
        <f>IF(ISBLANK(C12),"",SUBTOTAL(3, $C$3:C12))</f>
        <v/>
      </c>
      <c r="C12" s="31"/>
      <c r="D12" s="16"/>
      <c r="E12" s="17"/>
      <c r="F12" s="17"/>
      <c r="G12" s="17"/>
      <c r="H12" s="42" t="str">
        <f>IF(ISBLANK(Sacak[[#This Row],[En]]),"",VLOOKUP(Sacak[[#This Row],[En]],Fiyat[[Ölçü]:[Birim Fiyatı]],2,0))</f>
        <v/>
      </c>
      <c r="I12" s="42" t="str">
        <f>IF(ISBLANK(Sacak[[#This Row],[En]]),"",G12*H12)</f>
        <v/>
      </c>
      <c r="J12" s="43" t="str">
        <f>IF(ISBLANK(Sacak[[#This Row],[En]]),"",SUMIF(Sacak[Adı Soyadı],Sacak[[#This Row],[Adı Soyadı]],Sacak[TUTAR]))</f>
        <v/>
      </c>
    </row>
    <row r="13" spans="2:10" ht="15.6" thickTop="1" thickBot="1" x14ac:dyDescent="0.35">
      <c r="B13" s="15" t="str">
        <f>IF(ISBLANK(C13),"",SUBTOTAL(3, $C$3:C13))</f>
        <v/>
      </c>
      <c r="C13" s="31"/>
      <c r="D13" s="16"/>
      <c r="E13" s="17"/>
      <c r="F13" s="17"/>
      <c r="G13" s="17"/>
      <c r="H13" s="42" t="str">
        <f>IF(ISBLANK(Sacak[[#This Row],[En]]),"",VLOOKUP(Sacak[[#This Row],[En]],Fiyat[[Ölçü]:[Birim Fiyatı]],2,0))</f>
        <v/>
      </c>
      <c r="I13" s="42" t="str">
        <f>IF(ISBLANK(Sacak[[#This Row],[En]]),"",G13*H13)</f>
        <v/>
      </c>
      <c r="J13" s="43" t="str">
        <f>IF(ISBLANK(Sacak[[#This Row],[En]]),"",SUMIF(Sacak[Adı Soyadı],Sacak[[#This Row],[Adı Soyadı]],Sacak[TUTAR]))</f>
        <v/>
      </c>
    </row>
    <row r="14" spans="2:10" ht="15.6" thickTop="1" thickBot="1" x14ac:dyDescent="0.35">
      <c r="B14" s="15" t="str">
        <f>IF(ISBLANK(C14),"",SUBTOTAL(3, $C$3:C14))</f>
        <v/>
      </c>
      <c r="C14" s="31"/>
      <c r="D14" s="16"/>
      <c r="E14" s="17"/>
      <c r="F14" s="17"/>
      <c r="G14" s="17"/>
      <c r="H14" s="42" t="str">
        <f>IF(ISBLANK(Sacak[[#This Row],[En]]),"",VLOOKUP(Sacak[[#This Row],[En]],Fiyat[[Ölçü]:[Birim Fiyatı]],2,0))</f>
        <v/>
      </c>
      <c r="I14" s="42" t="str">
        <f>IF(ISBLANK(Sacak[[#This Row],[En]]),"",G14*H14)</f>
        <v/>
      </c>
      <c r="J14" s="43" t="str">
        <f>IF(ISBLANK(Sacak[[#This Row],[En]]),"",SUMIF(Sacak[Adı Soyadı],Sacak[[#This Row],[Adı Soyadı]],Sacak[TUTAR]))</f>
        <v/>
      </c>
    </row>
    <row r="15" spans="2:10" ht="15.6" thickTop="1" thickBot="1" x14ac:dyDescent="0.35">
      <c r="B15" s="15" t="str">
        <f>IF(ISBLANK(C15),"",SUBTOTAL(3, $C$3:C15))</f>
        <v/>
      </c>
      <c r="C15" s="31"/>
      <c r="D15" s="16"/>
      <c r="E15" s="17"/>
      <c r="F15" s="17"/>
      <c r="G15" s="17"/>
      <c r="H15" s="42" t="str">
        <f>IF(ISBLANK(Sacak[[#This Row],[En]]),"",VLOOKUP(Sacak[[#This Row],[En]],Fiyat[[Ölçü]:[Birim Fiyatı]],2,0))</f>
        <v/>
      </c>
      <c r="I15" s="42" t="str">
        <f>IF(ISBLANK(Sacak[[#This Row],[En]]),"",G15*H15)</f>
        <v/>
      </c>
      <c r="J15" s="43" t="str">
        <f>IF(ISBLANK(Sacak[[#This Row],[En]]),"",SUMIF(Sacak[Adı Soyadı],Sacak[[#This Row],[Adı Soyadı]],Sacak[TUTAR]))</f>
        <v/>
      </c>
    </row>
    <row r="16" spans="2:10" ht="15.6" thickTop="1" thickBot="1" x14ac:dyDescent="0.35">
      <c r="B16" s="15" t="str">
        <f>IF(ISBLANK(C16),"",SUBTOTAL(3, $C$3:C16))</f>
        <v/>
      </c>
      <c r="C16" s="31"/>
      <c r="D16" s="16"/>
      <c r="E16" s="17"/>
      <c r="F16" s="17"/>
      <c r="G16" s="17"/>
      <c r="H16" s="42" t="str">
        <f>IF(ISBLANK(Sacak[[#This Row],[En]]),"",VLOOKUP(Sacak[[#This Row],[En]],Fiyat[[Ölçü]:[Birim Fiyatı]],2,0))</f>
        <v/>
      </c>
      <c r="I16" s="42" t="str">
        <f>IF(ISBLANK(Sacak[[#This Row],[En]]),"",G16*H16)</f>
        <v/>
      </c>
      <c r="J16" s="43" t="str">
        <f>IF(ISBLANK(Sacak[[#This Row],[En]]),"",SUMIF(Sacak[Adı Soyadı],Sacak[[#This Row],[Adı Soyadı]],Sacak[TUTAR]))</f>
        <v/>
      </c>
    </row>
    <row r="17" spans="2:10" ht="15.6" thickTop="1" thickBot="1" x14ac:dyDescent="0.35">
      <c r="B17" s="15" t="str">
        <f>IF(ISBLANK(C17),"",SUBTOTAL(3, $C$3:C17))</f>
        <v/>
      </c>
      <c r="C17" s="31"/>
      <c r="D17" s="16"/>
      <c r="E17" s="17"/>
      <c r="F17" s="17"/>
      <c r="G17" s="17"/>
      <c r="H17" s="42" t="str">
        <f>IF(ISBLANK(Sacak[[#This Row],[En]]),"",VLOOKUP(Sacak[[#This Row],[En]],Fiyat[[Ölçü]:[Birim Fiyatı]],2,0))</f>
        <v/>
      </c>
      <c r="I17" s="42" t="str">
        <f>IF(ISBLANK(Sacak[[#This Row],[En]]),"",G17*H17)</f>
        <v/>
      </c>
      <c r="J17" s="43" t="str">
        <f>IF(ISBLANK(Sacak[[#This Row],[En]]),"",SUMIF(Sacak[Adı Soyadı],Sacak[[#This Row],[Adı Soyadı]],Sacak[TUTAR]))</f>
        <v/>
      </c>
    </row>
    <row r="18" spans="2:10" ht="15.6" thickTop="1" thickBot="1" x14ac:dyDescent="0.35">
      <c r="B18" s="15" t="str">
        <f>IF(ISBLANK(C18),"",SUBTOTAL(3, $C$3:C18))</f>
        <v/>
      </c>
      <c r="C18" s="31"/>
      <c r="D18" s="16"/>
      <c r="E18" s="17"/>
      <c r="F18" s="17"/>
      <c r="G18" s="17"/>
      <c r="H18" s="42" t="str">
        <f>IF(ISBLANK(Sacak[[#This Row],[En]]),"",VLOOKUP(Sacak[[#This Row],[En]],Fiyat[[Ölçü]:[Birim Fiyatı]],2,0))</f>
        <v/>
      </c>
      <c r="I18" s="42" t="str">
        <f>IF(ISBLANK(Sacak[[#This Row],[En]]),"",G18*H18)</f>
        <v/>
      </c>
      <c r="J18" s="43" t="str">
        <f>IF(ISBLANK(Sacak[[#This Row],[En]]),"",SUMIF(Sacak[Adı Soyadı],Sacak[[#This Row],[Adı Soyadı]],Sacak[TUTAR]))</f>
        <v/>
      </c>
    </row>
    <row r="19" spans="2:10" ht="15.6" thickTop="1" thickBot="1" x14ac:dyDescent="0.35">
      <c r="B19" s="15" t="str">
        <f>IF(ISBLANK(C19),"",SUBTOTAL(3, $C$3:C19))</f>
        <v/>
      </c>
      <c r="C19" s="31"/>
      <c r="D19" s="16"/>
      <c r="E19" s="17"/>
      <c r="F19" s="17"/>
      <c r="G19" s="17"/>
      <c r="H19" s="42" t="str">
        <f>IF(ISBLANK(Sacak[[#This Row],[En]]),"",VLOOKUP(Sacak[[#This Row],[En]],Fiyat[[Ölçü]:[Birim Fiyatı]],2,0))</f>
        <v/>
      </c>
      <c r="I19" s="42" t="str">
        <f>IF(ISBLANK(Sacak[[#This Row],[En]]),"",G19*H19)</f>
        <v/>
      </c>
      <c r="J19" s="43" t="str">
        <f>IF(ISBLANK(Sacak[[#This Row],[En]]),"",SUMIF(Sacak[Adı Soyadı],Sacak[[#This Row],[Adı Soyadı]],Sacak[TUTAR]))</f>
        <v/>
      </c>
    </row>
    <row r="20" spans="2:10" ht="15.6" thickTop="1" thickBot="1" x14ac:dyDescent="0.35">
      <c r="B20" s="15" t="str">
        <f>IF(ISBLANK(C20),"",SUBTOTAL(3, $C$3:C20))</f>
        <v/>
      </c>
      <c r="C20" s="31"/>
      <c r="D20" s="16"/>
      <c r="E20" s="17"/>
      <c r="F20" s="17"/>
      <c r="G20" s="17"/>
      <c r="H20" s="42" t="str">
        <f>IF(ISBLANK(Sacak[[#This Row],[En]]),"",VLOOKUP(Sacak[[#This Row],[En]],Fiyat[[Ölçü]:[Birim Fiyatı]],2,0))</f>
        <v/>
      </c>
      <c r="I20" s="42" t="str">
        <f>IF(ISBLANK(Sacak[[#This Row],[En]]),"",G20*H20)</f>
        <v/>
      </c>
      <c r="J20" s="43" t="str">
        <f>IF(ISBLANK(Sacak[[#This Row],[En]]),"",SUMIF(Sacak[Adı Soyadı],Sacak[[#This Row],[Adı Soyadı]],Sacak[TUTAR]))</f>
        <v/>
      </c>
    </row>
    <row r="21" spans="2:10" ht="15.6" thickTop="1" thickBot="1" x14ac:dyDescent="0.35">
      <c r="B21" s="15" t="str">
        <f>IF(ISBLANK(C21),"",SUBTOTAL(3, $C$3:C21))</f>
        <v/>
      </c>
      <c r="C21" s="31"/>
      <c r="D21" s="16"/>
      <c r="E21" s="17"/>
      <c r="F21" s="17"/>
      <c r="G21" s="17"/>
      <c r="H21" s="42" t="str">
        <f>IF(ISBLANK(Sacak[[#This Row],[En]]),"",VLOOKUP(Sacak[[#This Row],[En]],Fiyat[[Ölçü]:[Birim Fiyatı]],2,0))</f>
        <v/>
      </c>
      <c r="I21" s="42" t="str">
        <f>IF(ISBLANK(Sacak[[#This Row],[En]]),"",G21*H21)</f>
        <v/>
      </c>
      <c r="J21" s="43" t="str">
        <f>IF(ISBLANK(Sacak[[#This Row],[En]]),"",SUMIF(Sacak[Adı Soyadı],Sacak[[#This Row],[Adı Soyadı]],Sacak[TUTAR]))</f>
        <v/>
      </c>
    </row>
    <row r="22" spans="2:10" ht="15.6" thickTop="1" thickBot="1" x14ac:dyDescent="0.35">
      <c r="B22" s="15" t="str">
        <f>IF(ISBLANK(C22),"",SUBTOTAL(3, $C$3:C22))</f>
        <v/>
      </c>
      <c r="C22" s="31"/>
      <c r="D22" s="16"/>
      <c r="E22" s="17"/>
      <c r="F22" s="17"/>
      <c r="G22" s="17"/>
      <c r="H22" s="42" t="str">
        <f>IF(ISBLANK(Sacak[[#This Row],[En]]),"",VLOOKUP(Sacak[[#This Row],[En]],Fiyat[[Ölçü]:[Birim Fiyatı]],2,0))</f>
        <v/>
      </c>
      <c r="I22" s="42" t="str">
        <f>IF(ISBLANK(Sacak[[#This Row],[En]]),"",G22*H22)</f>
        <v/>
      </c>
      <c r="J22" s="43" t="str">
        <f>IF(ISBLANK(Sacak[[#This Row],[En]]),"",SUMIF(Sacak[Adı Soyadı],Sacak[[#This Row],[Adı Soyadı]],Sacak[TUTAR]))</f>
        <v/>
      </c>
    </row>
    <row r="23" spans="2:10" ht="15.6" thickTop="1" thickBot="1" x14ac:dyDescent="0.35">
      <c r="B23" s="15" t="str">
        <f>IF(ISBLANK(C23),"",SUBTOTAL(3, $C$3:C23))</f>
        <v/>
      </c>
      <c r="C23" s="31"/>
      <c r="D23" s="16"/>
      <c r="E23" s="17"/>
      <c r="F23" s="17"/>
      <c r="G23" s="17"/>
      <c r="H23" s="42" t="str">
        <f>IF(ISBLANK(Sacak[[#This Row],[En]]),"",VLOOKUP(Sacak[[#This Row],[En]],Fiyat[[Ölçü]:[Birim Fiyatı]],2,0))</f>
        <v/>
      </c>
      <c r="I23" s="42" t="str">
        <f>IF(ISBLANK(Sacak[[#This Row],[En]]),"",G23*H23)</f>
        <v/>
      </c>
      <c r="J23" s="43" t="str">
        <f>IF(ISBLANK(Sacak[[#This Row],[En]]),"",SUMIF(Sacak[Adı Soyadı],Sacak[[#This Row],[Adı Soyadı]],Sacak[TUTAR]))</f>
        <v/>
      </c>
    </row>
    <row r="24" spans="2:10" ht="15.6" thickTop="1" thickBot="1" x14ac:dyDescent="0.35">
      <c r="B24" s="15" t="str">
        <f>IF(ISBLANK(C24),"",SUBTOTAL(3, $C$3:C24))</f>
        <v/>
      </c>
      <c r="C24" s="31"/>
      <c r="D24" s="16"/>
      <c r="E24" s="17"/>
      <c r="F24" s="17"/>
      <c r="G24" s="17"/>
      <c r="H24" s="42" t="str">
        <f>IF(ISBLANK(Sacak[[#This Row],[En]]),"",VLOOKUP(Sacak[[#This Row],[En]],Fiyat[[Ölçü]:[Birim Fiyatı]],2,0))</f>
        <v/>
      </c>
      <c r="I24" s="42" t="str">
        <f>IF(ISBLANK(Sacak[[#This Row],[En]]),"",G24*H24)</f>
        <v/>
      </c>
      <c r="J24" s="43" t="str">
        <f>IF(ISBLANK(Sacak[[#This Row],[En]]),"",SUMIF(Sacak[Adı Soyadı],Sacak[[#This Row],[Adı Soyadı]],Sacak[TUTAR]))</f>
        <v/>
      </c>
    </row>
    <row r="25" spans="2:10" ht="15.6" thickTop="1" thickBot="1" x14ac:dyDescent="0.35">
      <c r="B25" s="15" t="str">
        <f>IF(ISBLANK(C25),"",SUBTOTAL(3, $C$3:C25))</f>
        <v/>
      </c>
      <c r="C25" s="31"/>
      <c r="D25" s="16"/>
      <c r="E25" s="17"/>
      <c r="F25" s="17"/>
      <c r="G25" s="17"/>
      <c r="H25" s="42" t="str">
        <f>IF(ISBLANK(Sacak[[#This Row],[En]]),"",VLOOKUP(Sacak[[#This Row],[En]],Fiyat[[Ölçü]:[Birim Fiyatı]],2,0))</f>
        <v/>
      </c>
      <c r="I25" s="42" t="str">
        <f>IF(ISBLANK(Sacak[[#This Row],[En]]),"",G25*H25)</f>
        <v/>
      </c>
      <c r="J25" s="43" t="str">
        <f>IF(ISBLANK(Sacak[[#This Row],[En]]),"",SUMIF(Sacak[Adı Soyadı],Sacak[[#This Row],[Adı Soyadı]],Sacak[TUTAR]))</f>
        <v/>
      </c>
    </row>
    <row r="26" spans="2:10" ht="15.6" thickTop="1" thickBot="1" x14ac:dyDescent="0.35">
      <c r="B26" s="15" t="str">
        <f>IF(ISBLANK(C26),"",SUBTOTAL(3, $C$3:C26))</f>
        <v/>
      </c>
      <c r="C26" s="31"/>
      <c r="D26" s="16"/>
      <c r="E26" s="17"/>
      <c r="F26" s="17"/>
      <c r="G26" s="17"/>
      <c r="H26" s="42" t="str">
        <f>IF(ISBLANK(Sacak[[#This Row],[En]]),"",VLOOKUP(Sacak[[#This Row],[En]],Fiyat[[Ölçü]:[Birim Fiyatı]],2,0))</f>
        <v/>
      </c>
      <c r="I26" s="42" t="str">
        <f>IF(ISBLANK(Sacak[[#This Row],[En]]),"",G26*H26)</f>
        <v/>
      </c>
      <c r="J26" s="43" t="str">
        <f>IF(ISBLANK(Sacak[[#This Row],[En]]),"",SUMIF(Sacak[Adı Soyadı],Sacak[[#This Row],[Adı Soyadı]],Sacak[TUTAR]))</f>
        <v/>
      </c>
    </row>
    <row r="27" spans="2:10" ht="15.6" thickTop="1" thickBot="1" x14ac:dyDescent="0.35">
      <c r="B27" s="15" t="str">
        <f>IF(ISBLANK(C27),"",SUBTOTAL(3, $C$3:C27))</f>
        <v/>
      </c>
      <c r="C27" s="31"/>
      <c r="D27" s="16"/>
      <c r="E27" s="17"/>
      <c r="F27" s="17"/>
      <c r="G27" s="17"/>
      <c r="H27" s="42" t="str">
        <f>IF(ISBLANK(Sacak[[#This Row],[En]]),"",VLOOKUP(Sacak[[#This Row],[En]],Fiyat[[Ölçü]:[Birim Fiyatı]],2,0))</f>
        <v/>
      </c>
      <c r="I27" s="42" t="str">
        <f>IF(ISBLANK(Sacak[[#This Row],[En]]),"",G27*H27)</f>
        <v/>
      </c>
      <c r="J27" s="43" t="str">
        <f>IF(ISBLANK(Sacak[[#This Row],[En]]),"",SUMIF(Sacak[Adı Soyadı],Sacak[[#This Row],[Adı Soyadı]],Sacak[TUTAR]))</f>
        <v/>
      </c>
    </row>
    <row r="28" spans="2:10" ht="15.6" thickTop="1" thickBot="1" x14ac:dyDescent="0.35">
      <c r="B28" s="15" t="str">
        <f>IF(ISBLANK(C28),"",SUBTOTAL(3, $C$3:C28))</f>
        <v/>
      </c>
      <c r="C28" s="31"/>
      <c r="D28" s="16"/>
      <c r="E28" s="17"/>
      <c r="F28" s="17"/>
      <c r="G28" s="17"/>
      <c r="H28" s="42" t="str">
        <f>IF(ISBLANK(Sacak[[#This Row],[En]]),"",VLOOKUP(Sacak[[#This Row],[En]],Fiyat[[Ölçü]:[Birim Fiyatı]],2,0))</f>
        <v/>
      </c>
      <c r="I28" s="42" t="str">
        <f>IF(ISBLANK(Sacak[[#This Row],[En]]),"",G28*H28)</f>
        <v/>
      </c>
      <c r="J28" s="43" t="str">
        <f>IF(ISBLANK(Sacak[[#This Row],[En]]),"",SUMIF(Sacak[Adı Soyadı],Sacak[[#This Row],[Adı Soyadı]],Sacak[TUTAR]))</f>
        <v/>
      </c>
    </row>
    <row r="29" spans="2:10" ht="15.6" thickTop="1" thickBot="1" x14ac:dyDescent="0.35">
      <c r="B29" s="15" t="str">
        <f>IF(ISBLANK(C29),"",SUBTOTAL(3, $C$3:C29))</f>
        <v/>
      </c>
      <c r="C29" s="31"/>
      <c r="D29" s="16"/>
      <c r="E29" s="17"/>
      <c r="F29" s="17"/>
      <c r="G29" s="17"/>
      <c r="H29" s="42" t="str">
        <f>IF(ISBLANK(Sacak[[#This Row],[En]]),"",VLOOKUP(Sacak[[#This Row],[En]],Fiyat[[Ölçü]:[Birim Fiyatı]],2,0))</f>
        <v/>
      </c>
      <c r="I29" s="42" t="str">
        <f>IF(ISBLANK(Sacak[[#This Row],[En]]),"",G29*H29)</f>
        <v/>
      </c>
      <c r="J29" s="43" t="str">
        <f>IF(ISBLANK(Sacak[[#This Row],[En]]),"",SUMIF(Sacak[Adı Soyadı],Sacak[[#This Row],[Adı Soyadı]],Sacak[TUTAR]))</f>
        <v/>
      </c>
    </row>
    <row r="30" spans="2:10" ht="15.6" thickTop="1" thickBot="1" x14ac:dyDescent="0.35">
      <c r="B30" s="15" t="str">
        <f>IF(ISBLANK(C30),"",SUBTOTAL(3, $C$3:C30))</f>
        <v/>
      </c>
      <c r="C30" s="31"/>
      <c r="D30" s="16"/>
      <c r="E30" s="17"/>
      <c r="F30" s="17"/>
      <c r="G30" s="17"/>
      <c r="H30" s="42" t="str">
        <f>IF(ISBLANK(Sacak[[#This Row],[En]]),"",VLOOKUP(Sacak[[#This Row],[En]],Fiyat[[Ölçü]:[Birim Fiyatı]],2,0))</f>
        <v/>
      </c>
      <c r="I30" s="42" t="str">
        <f>IF(ISBLANK(Sacak[[#This Row],[En]]),"",G30*H30)</f>
        <v/>
      </c>
      <c r="J30" s="43" t="str">
        <f>IF(ISBLANK(Sacak[[#This Row],[En]]),"",SUMIF(Sacak[Adı Soyadı],Sacak[[#This Row],[Adı Soyadı]],Sacak[TUTAR]))</f>
        <v/>
      </c>
    </row>
    <row r="31" spans="2:10" ht="15.6" thickTop="1" thickBot="1" x14ac:dyDescent="0.35">
      <c r="B31" s="15" t="str">
        <f>IF(ISBLANK(C31),"",SUBTOTAL(3, $C$3:C31))</f>
        <v/>
      </c>
      <c r="C31" s="31"/>
      <c r="D31" s="16"/>
      <c r="E31" s="17"/>
      <c r="F31" s="17"/>
      <c r="G31" s="17"/>
      <c r="H31" s="42" t="str">
        <f>IF(ISBLANK(Sacak[[#This Row],[En]]),"",VLOOKUP(Sacak[[#This Row],[En]],Fiyat[[Ölçü]:[Birim Fiyatı]],2,0))</f>
        <v/>
      </c>
      <c r="I31" s="42" t="str">
        <f>IF(ISBLANK(Sacak[[#This Row],[En]]),"",G31*H31)</f>
        <v/>
      </c>
      <c r="J31" s="43" t="str">
        <f>IF(ISBLANK(Sacak[[#This Row],[En]]),"",SUMIF(Sacak[Adı Soyadı],Sacak[[#This Row],[Adı Soyadı]],Sacak[TUTAR]))</f>
        <v/>
      </c>
    </row>
    <row r="32" spans="2:10" ht="15.6" thickTop="1" thickBot="1" x14ac:dyDescent="0.35">
      <c r="B32" s="15" t="str">
        <f>IF(ISBLANK(C32),"",SUBTOTAL(3, $C$3:C32))</f>
        <v/>
      </c>
      <c r="C32" s="31"/>
      <c r="D32" s="16"/>
      <c r="E32" s="17"/>
      <c r="F32" s="17"/>
      <c r="G32" s="17"/>
      <c r="H32" s="42" t="str">
        <f>IF(ISBLANK(Sacak[[#This Row],[En]]),"",VLOOKUP(Sacak[[#This Row],[En]],Fiyat[[Ölçü]:[Birim Fiyatı]],2,0))</f>
        <v/>
      </c>
      <c r="I32" s="42" t="str">
        <f>IF(ISBLANK(Sacak[[#This Row],[En]]),"",G32*H32)</f>
        <v/>
      </c>
      <c r="J32" s="43" t="str">
        <f>IF(ISBLANK(Sacak[[#This Row],[En]]),"",SUMIF(Sacak[Adı Soyadı],Sacak[[#This Row],[Adı Soyadı]],Sacak[TUTAR]))</f>
        <v/>
      </c>
    </row>
    <row r="33" spans="2:10" ht="15.6" thickTop="1" thickBot="1" x14ac:dyDescent="0.35">
      <c r="B33" s="15" t="str">
        <f>IF(ISBLANK(C33),"",SUBTOTAL(3, $C$3:C33))</f>
        <v/>
      </c>
      <c r="C33" s="31"/>
      <c r="D33" s="16"/>
      <c r="E33" s="17"/>
      <c r="F33" s="17"/>
      <c r="G33" s="17"/>
      <c r="H33" s="42" t="str">
        <f>IF(ISBLANK(Sacak[[#This Row],[En]]),"",VLOOKUP(Sacak[[#This Row],[En]],Fiyat[[Ölçü]:[Birim Fiyatı]],2,0))</f>
        <v/>
      </c>
      <c r="I33" s="42" t="str">
        <f>IF(ISBLANK(Sacak[[#This Row],[En]]),"",G33*H33)</f>
        <v/>
      </c>
      <c r="J33" s="43" t="str">
        <f>IF(ISBLANK(Sacak[[#This Row],[En]]),"",SUMIF(Sacak[Adı Soyadı],Sacak[[#This Row],[Adı Soyadı]],Sacak[TUTAR]))</f>
        <v/>
      </c>
    </row>
    <row r="34" spans="2:10" ht="15.6" thickTop="1" thickBot="1" x14ac:dyDescent="0.35">
      <c r="B34" s="15" t="str">
        <f>IF(ISBLANK(C34),"",SUBTOTAL(3, $C$3:C34))</f>
        <v/>
      </c>
      <c r="C34" s="31"/>
      <c r="D34" s="16"/>
      <c r="E34" s="17"/>
      <c r="F34" s="17"/>
      <c r="G34" s="17"/>
      <c r="H34" s="42" t="str">
        <f>IF(ISBLANK(Sacak[[#This Row],[En]]),"",VLOOKUP(Sacak[[#This Row],[En]],Fiyat[[Ölçü]:[Birim Fiyatı]],2,0))</f>
        <v/>
      </c>
      <c r="I34" s="42" t="str">
        <f>IF(ISBLANK(Sacak[[#This Row],[En]]),"",G34*H34)</f>
        <v/>
      </c>
      <c r="J34" s="43" t="str">
        <f>IF(ISBLANK(Sacak[[#This Row],[En]]),"",SUMIF(Sacak[Adı Soyadı],Sacak[[#This Row],[Adı Soyadı]],Sacak[TUTAR]))</f>
        <v/>
      </c>
    </row>
    <row r="35" spans="2:10" ht="15.6" thickTop="1" thickBot="1" x14ac:dyDescent="0.35">
      <c r="B35" s="15" t="str">
        <f>IF(ISBLANK(C35),"",SUBTOTAL(3, $C$3:C35))</f>
        <v/>
      </c>
      <c r="C35" s="31"/>
      <c r="D35" s="16"/>
      <c r="E35" s="17"/>
      <c r="F35" s="17"/>
      <c r="G35" s="17"/>
      <c r="H35" s="42" t="str">
        <f>IF(ISBLANK(Sacak[[#This Row],[En]]),"",VLOOKUP(Sacak[[#This Row],[En]],Fiyat[[Ölçü]:[Birim Fiyatı]],2,0))</f>
        <v/>
      </c>
      <c r="I35" s="42" t="str">
        <f>IF(ISBLANK(Sacak[[#This Row],[En]]),"",G35*H35)</f>
        <v/>
      </c>
      <c r="J35" s="43" t="str">
        <f>IF(ISBLANK(Sacak[[#This Row],[En]]),"",SUMIF(Sacak[Adı Soyadı],Sacak[[#This Row],[Adı Soyadı]],Sacak[TUTAR]))</f>
        <v/>
      </c>
    </row>
    <row r="36" spans="2:10" ht="15.6" thickTop="1" thickBot="1" x14ac:dyDescent="0.35">
      <c r="B36" s="15" t="str">
        <f>IF(ISBLANK(C36),"",SUBTOTAL(3, $C$3:C36))</f>
        <v/>
      </c>
      <c r="C36" s="31"/>
      <c r="D36" s="16"/>
      <c r="E36" s="17"/>
      <c r="F36" s="17"/>
      <c r="G36" s="17"/>
      <c r="H36" s="42" t="str">
        <f>IF(ISBLANK(Sacak[[#This Row],[En]]),"",VLOOKUP(Sacak[[#This Row],[En]],Fiyat[[Ölçü]:[Birim Fiyatı]],2,0))</f>
        <v/>
      </c>
      <c r="I36" s="42" t="str">
        <f>IF(ISBLANK(Sacak[[#This Row],[En]]),"",G36*H36)</f>
        <v/>
      </c>
      <c r="J36" s="43" t="str">
        <f>IF(ISBLANK(Sacak[[#This Row],[En]]),"",SUMIF(Sacak[Adı Soyadı],Sacak[[#This Row],[Adı Soyadı]],Sacak[TUTAR]))</f>
        <v/>
      </c>
    </row>
    <row r="37" spans="2:10" ht="15.6" thickTop="1" thickBot="1" x14ac:dyDescent="0.35">
      <c r="B37" s="15" t="str">
        <f>IF(ISBLANK(C37),"",SUBTOTAL(3, $C$3:C37))</f>
        <v/>
      </c>
      <c r="C37" s="31"/>
      <c r="D37" s="16"/>
      <c r="E37" s="17"/>
      <c r="F37" s="17"/>
      <c r="G37" s="17"/>
      <c r="H37" s="42" t="str">
        <f>IF(ISBLANK(Sacak[[#This Row],[En]]),"",VLOOKUP(Sacak[[#This Row],[En]],Fiyat[[Ölçü]:[Birim Fiyatı]],2,0))</f>
        <v/>
      </c>
      <c r="I37" s="42" t="str">
        <f>IF(ISBLANK(Sacak[[#This Row],[En]]),"",G37*H37)</f>
        <v/>
      </c>
      <c r="J37" s="43" t="str">
        <f>IF(ISBLANK(Sacak[[#This Row],[En]]),"",SUMIF(Sacak[Adı Soyadı],Sacak[[#This Row],[Adı Soyadı]],Sacak[TUTAR]))</f>
        <v/>
      </c>
    </row>
    <row r="38" spans="2:10" ht="15.6" thickTop="1" thickBot="1" x14ac:dyDescent="0.35">
      <c r="B38" s="15" t="str">
        <f>IF(ISBLANK(C38),"",SUBTOTAL(3, $C$3:C38))</f>
        <v/>
      </c>
      <c r="C38" s="31"/>
      <c r="D38" s="16"/>
      <c r="E38" s="17"/>
      <c r="F38" s="17"/>
      <c r="G38" s="17"/>
      <c r="H38" s="42" t="str">
        <f>IF(ISBLANK(Sacak[[#This Row],[En]]),"",VLOOKUP(Sacak[[#This Row],[En]],Fiyat[[Ölçü]:[Birim Fiyatı]],2,0))</f>
        <v/>
      </c>
      <c r="I38" s="42" t="str">
        <f>IF(ISBLANK(Sacak[[#This Row],[En]]),"",G38*H38)</f>
        <v/>
      </c>
      <c r="J38" s="43" t="str">
        <f>IF(ISBLANK(Sacak[[#This Row],[En]]),"",SUMIF(Sacak[Adı Soyadı],Sacak[[#This Row],[Adı Soyadı]],Sacak[TUTAR]))</f>
        <v/>
      </c>
    </row>
    <row r="39" spans="2:10" ht="15.6" thickTop="1" thickBot="1" x14ac:dyDescent="0.35">
      <c r="B39" s="15" t="str">
        <f>IF(ISBLANK(C39),"",SUBTOTAL(3, $C$3:C39))</f>
        <v/>
      </c>
      <c r="C39" s="31"/>
      <c r="D39" s="16"/>
      <c r="E39" s="17"/>
      <c r="F39" s="17"/>
      <c r="G39" s="17"/>
      <c r="H39" s="42" t="str">
        <f>IF(ISBLANK(Sacak[[#This Row],[En]]),"",VLOOKUP(Sacak[[#This Row],[En]],Fiyat[[Ölçü]:[Birim Fiyatı]],2,0))</f>
        <v/>
      </c>
      <c r="I39" s="42" t="str">
        <f>IF(ISBLANK(Sacak[[#This Row],[En]]),"",G39*H39)</f>
        <v/>
      </c>
      <c r="J39" s="43" t="str">
        <f>IF(ISBLANK(Sacak[[#This Row],[En]]),"",SUMIF(Sacak[Adı Soyadı],Sacak[[#This Row],[Adı Soyadı]],Sacak[TUTAR]))</f>
        <v/>
      </c>
    </row>
    <row r="40" spans="2:10" ht="15.6" thickTop="1" thickBot="1" x14ac:dyDescent="0.35">
      <c r="B40" s="15" t="str">
        <f>IF(ISBLANK(C40),"",SUBTOTAL(3, $C$3:C40))</f>
        <v/>
      </c>
      <c r="C40" s="31"/>
      <c r="D40" s="16"/>
      <c r="E40" s="17"/>
      <c r="F40" s="17"/>
      <c r="G40" s="17"/>
      <c r="H40" s="42" t="str">
        <f>IF(ISBLANK(Sacak[[#This Row],[En]]),"",VLOOKUP(Sacak[[#This Row],[En]],Fiyat[[Ölçü]:[Birim Fiyatı]],2,0))</f>
        <v/>
      </c>
      <c r="I40" s="42" t="str">
        <f>IF(ISBLANK(Sacak[[#This Row],[En]]),"",G40*H40)</f>
        <v/>
      </c>
      <c r="J40" s="43" t="str">
        <f>IF(ISBLANK(Sacak[[#This Row],[En]]),"",SUMIF(Sacak[Adı Soyadı],Sacak[[#This Row],[Adı Soyadı]],Sacak[TUTAR]))</f>
        <v/>
      </c>
    </row>
    <row r="41" spans="2:10" ht="15.6" thickTop="1" thickBot="1" x14ac:dyDescent="0.35">
      <c r="B41" s="15" t="str">
        <f>IF(ISBLANK(C41),"",SUBTOTAL(3, $C$3:C41))</f>
        <v/>
      </c>
      <c r="C41" s="31"/>
      <c r="D41" s="16"/>
      <c r="E41" s="17"/>
      <c r="F41" s="17"/>
      <c r="G41" s="17"/>
      <c r="H41" s="42" t="str">
        <f>IF(ISBLANK(Sacak[[#This Row],[En]]),"",VLOOKUP(Sacak[[#This Row],[En]],Fiyat[[Ölçü]:[Birim Fiyatı]],2,0))</f>
        <v/>
      </c>
      <c r="I41" s="42" t="str">
        <f>IF(ISBLANK(Sacak[[#This Row],[En]]),"",G41*H41)</f>
        <v/>
      </c>
      <c r="J41" s="43" t="str">
        <f>IF(ISBLANK(Sacak[[#This Row],[En]]),"",SUMIF(Sacak[Adı Soyadı],Sacak[[#This Row],[Adı Soyadı]],Sacak[TUTAR]))</f>
        <v/>
      </c>
    </row>
    <row r="42" spans="2:10" ht="15.6" thickTop="1" thickBot="1" x14ac:dyDescent="0.35">
      <c r="B42" s="15" t="str">
        <f>IF(ISBLANK(C42),"",SUBTOTAL(3, $C$3:C42))</f>
        <v/>
      </c>
      <c r="C42" s="31"/>
      <c r="D42" s="16"/>
      <c r="E42" s="17"/>
      <c r="F42" s="17"/>
      <c r="G42" s="17"/>
      <c r="H42" s="42" t="str">
        <f>IF(ISBLANK(Sacak[[#This Row],[En]]),"",VLOOKUP(Sacak[[#This Row],[En]],Fiyat[[Ölçü]:[Birim Fiyatı]],2,0))</f>
        <v/>
      </c>
      <c r="I42" s="42" t="str">
        <f>IF(ISBLANK(Sacak[[#This Row],[En]]),"",G42*H42)</f>
        <v/>
      </c>
      <c r="J42" s="43" t="str">
        <f>IF(ISBLANK(Sacak[[#This Row],[En]]),"",SUMIF(Sacak[Adı Soyadı],Sacak[[#This Row],[Adı Soyadı]],Sacak[TUTAR]))</f>
        <v/>
      </c>
    </row>
    <row r="43" spans="2:10" ht="15.6" thickTop="1" thickBot="1" x14ac:dyDescent="0.35">
      <c r="B43" s="15" t="str">
        <f>IF(ISBLANK(C43),"",SUBTOTAL(3, $C$3:C43))</f>
        <v/>
      </c>
      <c r="C43" s="31"/>
      <c r="D43" s="16"/>
      <c r="E43" s="17"/>
      <c r="F43" s="17"/>
      <c r="G43" s="17"/>
      <c r="H43" s="42" t="str">
        <f>IF(ISBLANK(Sacak[[#This Row],[En]]),"",VLOOKUP(Sacak[[#This Row],[En]],Fiyat[[Ölçü]:[Birim Fiyatı]],2,0))</f>
        <v/>
      </c>
      <c r="I43" s="42" t="str">
        <f>IF(ISBLANK(Sacak[[#This Row],[En]]),"",G43*H43)</f>
        <v/>
      </c>
      <c r="J43" s="43" t="str">
        <f>IF(ISBLANK(Sacak[[#This Row],[En]]),"",SUMIF(Sacak[Adı Soyadı],Sacak[[#This Row],[Adı Soyadı]],Sacak[TUTAR]))</f>
        <v/>
      </c>
    </row>
    <row r="44" spans="2:10" ht="15.6" thickTop="1" thickBot="1" x14ac:dyDescent="0.35">
      <c r="B44" s="15" t="str">
        <f>IF(ISBLANK(C44),"",SUBTOTAL(3, $C$3:C44))</f>
        <v/>
      </c>
      <c r="C44" s="31"/>
      <c r="D44" s="16"/>
      <c r="E44" s="17"/>
      <c r="F44" s="17"/>
      <c r="G44" s="17"/>
      <c r="H44" s="42" t="str">
        <f>IF(ISBLANK(Sacak[[#This Row],[En]]),"",VLOOKUP(Sacak[[#This Row],[En]],Fiyat[[Ölçü]:[Birim Fiyatı]],2,0))</f>
        <v/>
      </c>
      <c r="I44" s="42" t="str">
        <f>IF(ISBLANK(Sacak[[#This Row],[En]]),"",G44*H44)</f>
        <v/>
      </c>
      <c r="J44" s="43" t="str">
        <f>IF(ISBLANK(Sacak[[#This Row],[En]]),"",SUMIF(Sacak[Adı Soyadı],Sacak[[#This Row],[Adı Soyadı]],Sacak[TUTAR]))</f>
        <v/>
      </c>
    </row>
    <row r="45" spans="2:10" ht="15.6" thickTop="1" thickBot="1" x14ac:dyDescent="0.35">
      <c r="B45" s="15" t="str">
        <f>IF(ISBLANK(C45),"",SUBTOTAL(3, $C$3:C45))</f>
        <v/>
      </c>
      <c r="C45" s="31"/>
      <c r="D45" s="16"/>
      <c r="E45" s="17"/>
      <c r="F45" s="17"/>
      <c r="G45" s="17"/>
      <c r="H45" s="42" t="str">
        <f>IF(ISBLANK(Sacak[[#This Row],[En]]),"",VLOOKUP(Sacak[[#This Row],[En]],Fiyat[[Ölçü]:[Birim Fiyatı]],2,0))</f>
        <v/>
      </c>
      <c r="I45" s="42" t="str">
        <f>IF(ISBLANK(Sacak[[#This Row],[En]]),"",G45*H45)</f>
        <v/>
      </c>
      <c r="J45" s="43" t="str">
        <f>IF(ISBLANK(Sacak[[#This Row],[En]]),"",SUMIF(Sacak[Adı Soyadı],Sacak[[#This Row],[Adı Soyadı]],Sacak[TUTAR]))</f>
        <v/>
      </c>
    </row>
    <row r="46" spans="2:10" ht="15.6" thickTop="1" thickBot="1" x14ac:dyDescent="0.35">
      <c r="B46" s="15" t="str">
        <f>IF(ISBLANK(C46),"",SUBTOTAL(3, $C$3:C46))</f>
        <v/>
      </c>
      <c r="C46" s="31"/>
      <c r="D46" s="16"/>
      <c r="E46" s="17"/>
      <c r="F46" s="17"/>
      <c r="G46" s="17"/>
      <c r="H46" s="42" t="str">
        <f>IF(ISBLANK(Sacak[[#This Row],[En]]),"",VLOOKUP(Sacak[[#This Row],[En]],Fiyat[[Ölçü]:[Birim Fiyatı]],2,0))</f>
        <v/>
      </c>
      <c r="I46" s="42" t="str">
        <f>IF(ISBLANK(Sacak[[#This Row],[En]]),"",G46*H46)</f>
        <v/>
      </c>
      <c r="J46" s="43" t="str">
        <f>IF(ISBLANK(Sacak[[#This Row],[En]]),"",SUMIF(Sacak[Adı Soyadı],Sacak[[#This Row],[Adı Soyadı]],Sacak[TUTAR]))</f>
        <v/>
      </c>
    </row>
    <row r="47" spans="2:10" ht="15.6" thickTop="1" thickBot="1" x14ac:dyDescent="0.35">
      <c r="B47" s="15" t="str">
        <f>IF(ISBLANK(C47),"",SUBTOTAL(3, $C$3:C47))</f>
        <v/>
      </c>
      <c r="C47" s="31"/>
      <c r="D47" s="16"/>
      <c r="E47" s="17"/>
      <c r="F47" s="17"/>
      <c r="G47" s="17"/>
      <c r="H47" s="42" t="str">
        <f>IF(ISBLANK(Sacak[[#This Row],[En]]),"",VLOOKUP(Sacak[[#This Row],[En]],Fiyat[[Ölçü]:[Birim Fiyatı]],2,0))</f>
        <v/>
      </c>
      <c r="I47" s="42" t="str">
        <f>IF(ISBLANK(Sacak[[#This Row],[En]]),"",G47*H47)</f>
        <v/>
      </c>
      <c r="J47" s="43" t="str">
        <f>IF(ISBLANK(Sacak[[#This Row],[En]]),"",SUMIF(Sacak[Adı Soyadı],Sacak[[#This Row],[Adı Soyadı]],Sacak[TUTAR]))</f>
        <v/>
      </c>
    </row>
    <row r="48" spans="2:10" ht="15.6" thickTop="1" thickBot="1" x14ac:dyDescent="0.35">
      <c r="B48" s="15" t="str">
        <f>IF(ISBLANK(C48),"",SUBTOTAL(3, $C$3:C48))</f>
        <v/>
      </c>
      <c r="C48" s="31"/>
      <c r="D48" s="16"/>
      <c r="E48" s="17"/>
      <c r="F48" s="17"/>
      <c r="G48" s="17"/>
      <c r="H48" s="42" t="str">
        <f>IF(ISBLANK(Sacak[[#This Row],[En]]),"",VLOOKUP(Sacak[[#This Row],[En]],Fiyat[[Ölçü]:[Birim Fiyatı]],2,0))</f>
        <v/>
      </c>
      <c r="I48" s="42" t="str">
        <f>IF(ISBLANK(Sacak[[#This Row],[En]]),"",G48*H48)</f>
        <v/>
      </c>
      <c r="J48" s="43" t="str">
        <f>IF(ISBLANK(Sacak[[#This Row],[En]]),"",SUMIF(Sacak[Adı Soyadı],Sacak[[#This Row],[Adı Soyadı]],Sacak[TUTAR]))</f>
        <v/>
      </c>
    </row>
    <row r="49" spans="2:10" ht="15.6" thickTop="1" thickBot="1" x14ac:dyDescent="0.35">
      <c r="B49" s="15" t="str">
        <f>IF(ISBLANK(C49),"",SUBTOTAL(3, $C$3:C49))</f>
        <v/>
      </c>
      <c r="C49" s="31"/>
      <c r="D49" s="16"/>
      <c r="E49" s="17"/>
      <c r="F49" s="17"/>
      <c r="G49" s="17"/>
      <c r="H49" s="42" t="str">
        <f>IF(ISBLANK(Sacak[[#This Row],[En]]),"",VLOOKUP(Sacak[[#This Row],[En]],Fiyat[[Ölçü]:[Birim Fiyatı]],2,0))</f>
        <v/>
      </c>
      <c r="I49" s="42" t="str">
        <f>IF(ISBLANK(Sacak[[#This Row],[En]]),"",G49*H49)</f>
        <v/>
      </c>
      <c r="J49" s="43" t="str">
        <f>IF(ISBLANK(Sacak[[#This Row],[En]]),"",SUMIF(Sacak[Adı Soyadı],Sacak[[#This Row],[Adı Soyadı]],Sacak[TUTAR]))</f>
        <v/>
      </c>
    </row>
    <row r="50" spans="2:10" ht="15.6" thickTop="1" thickBot="1" x14ac:dyDescent="0.35">
      <c r="B50" s="15" t="str">
        <f>IF(ISBLANK(C50),"",SUBTOTAL(3, $C$3:C50))</f>
        <v/>
      </c>
      <c r="C50" s="31"/>
      <c r="D50" s="16"/>
      <c r="E50" s="17"/>
      <c r="F50" s="17"/>
      <c r="G50" s="17"/>
      <c r="H50" s="42" t="str">
        <f>IF(ISBLANK(Sacak[[#This Row],[En]]),"",VLOOKUP(Sacak[[#This Row],[En]],Fiyat[[Ölçü]:[Birim Fiyatı]],2,0))</f>
        <v/>
      </c>
      <c r="I50" s="42" t="str">
        <f>IF(ISBLANK(Sacak[[#This Row],[En]]),"",G50*H50)</f>
        <v/>
      </c>
      <c r="J50" s="43" t="str">
        <f>IF(ISBLANK(Sacak[[#This Row],[En]]),"",SUMIF(Sacak[Adı Soyadı],Sacak[[#This Row],[Adı Soyadı]],Sacak[TUTAR]))</f>
        <v/>
      </c>
    </row>
    <row r="51" spans="2:10" ht="15.6" thickTop="1" thickBot="1" x14ac:dyDescent="0.35">
      <c r="B51" s="15" t="str">
        <f>IF(ISBLANK(C51),"",SUBTOTAL(3, $C$3:C51))</f>
        <v/>
      </c>
      <c r="C51" s="31"/>
      <c r="D51" s="16"/>
      <c r="E51" s="17"/>
      <c r="F51" s="17"/>
      <c r="G51" s="17"/>
      <c r="H51" s="42" t="str">
        <f>IF(ISBLANK(Sacak[[#This Row],[En]]),"",VLOOKUP(Sacak[[#This Row],[En]],Fiyat[[Ölçü]:[Birim Fiyatı]],2,0))</f>
        <v/>
      </c>
      <c r="I51" s="42" t="str">
        <f>IF(ISBLANK(Sacak[[#This Row],[En]]),"",G51*H51)</f>
        <v/>
      </c>
      <c r="J51" s="43" t="str">
        <f>IF(ISBLANK(Sacak[[#This Row],[En]]),"",SUMIF(Sacak[Adı Soyadı],Sacak[[#This Row],[Adı Soyadı]],Sacak[TUTAR]))</f>
        <v/>
      </c>
    </row>
    <row r="52" spans="2:10" ht="15.6" thickTop="1" thickBot="1" x14ac:dyDescent="0.35">
      <c r="B52" s="15" t="str">
        <f>IF(ISBLANK(C52),"",SUBTOTAL(3, $C$3:C52))</f>
        <v/>
      </c>
      <c r="C52" s="31"/>
      <c r="D52" s="16"/>
      <c r="E52" s="17"/>
      <c r="F52" s="17"/>
      <c r="G52" s="17"/>
      <c r="H52" s="42" t="str">
        <f>IF(ISBLANK(Sacak[[#This Row],[En]]),"",VLOOKUP(Sacak[[#This Row],[En]],Fiyat[[Ölçü]:[Birim Fiyatı]],2,0))</f>
        <v/>
      </c>
      <c r="I52" s="42" t="str">
        <f>IF(ISBLANK(Sacak[[#This Row],[En]]),"",G52*H52)</f>
        <v/>
      </c>
      <c r="J52" s="43" t="str">
        <f>IF(ISBLANK(Sacak[[#This Row],[En]]),"",SUMIF(Sacak[Adı Soyadı],Sacak[[#This Row],[Adı Soyadı]],Sacak[TUTAR]))</f>
        <v/>
      </c>
    </row>
    <row r="53" spans="2:10" ht="15.6" thickTop="1" thickBot="1" x14ac:dyDescent="0.35">
      <c r="B53" s="15" t="str">
        <f>IF(ISBLANK(C53),"",SUBTOTAL(3, $C$3:C53))</f>
        <v/>
      </c>
      <c r="C53" s="31"/>
      <c r="D53" s="16"/>
      <c r="E53" s="17"/>
      <c r="F53" s="17"/>
      <c r="G53" s="17"/>
      <c r="H53" s="42" t="str">
        <f>IF(ISBLANK(Sacak[[#This Row],[En]]),"",VLOOKUP(Sacak[[#This Row],[En]],Fiyat[[Ölçü]:[Birim Fiyatı]],2,0))</f>
        <v/>
      </c>
      <c r="I53" s="42" t="str">
        <f>IF(ISBLANK(Sacak[[#This Row],[En]]),"",G53*H53)</f>
        <v/>
      </c>
      <c r="J53" s="43" t="str">
        <f>IF(ISBLANK(Sacak[[#This Row],[En]]),"",SUMIF(Sacak[Adı Soyadı],Sacak[[#This Row],[Adı Soyadı]],Sacak[TUTAR]))</f>
        <v/>
      </c>
    </row>
    <row r="54" spans="2:10" ht="15.6" thickTop="1" thickBot="1" x14ac:dyDescent="0.35">
      <c r="B54" s="15" t="str">
        <f>IF(ISBLANK(C54),"",SUBTOTAL(3, $C$3:C54))</f>
        <v/>
      </c>
      <c r="C54" s="31"/>
      <c r="D54" s="16"/>
      <c r="E54" s="17"/>
      <c r="F54" s="17"/>
      <c r="G54" s="17"/>
      <c r="H54" s="42" t="str">
        <f>IF(ISBLANK(Sacak[[#This Row],[En]]),"",VLOOKUP(Sacak[[#This Row],[En]],Fiyat[[Ölçü]:[Birim Fiyatı]],2,0))</f>
        <v/>
      </c>
      <c r="I54" s="42" t="str">
        <f>IF(ISBLANK(Sacak[[#This Row],[En]]),"",G54*H54)</f>
        <v/>
      </c>
      <c r="J54" s="43" t="str">
        <f>IF(ISBLANK(Sacak[[#This Row],[En]]),"",SUMIF(Sacak[Adı Soyadı],Sacak[[#This Row],[Adı Soyadı]],Sacak[TUTAR]))</f>
        <v/>
      </c>
    </row>
    <row r="55" spans="2:10" ht="15.6" thickTop="1" thickBot="1" x14ac:dyDescent="0.35">
      <c r="B55" s="15" t="str">
        <f>IF(ISBLANK(C55),"",SUBTOTAL(3, $C$3:C55))</f>
        <v/>
      </c>
      <c r="C55" s="31"/>
      <c r="D55" s="16"/>
      <c r="E55" s="17"/>
      <c r="F55" s="17"/>
      <c r="G55" s="17"/>
      <c r="H55" s="42" t="str">
        <f>IF(ISBLANK(Sacak[[#This Row],[En]]),"",VLOOKUP(Sacak[[#This Row],[En]],Fiyat[[Ölçü]:[Birim Fiyatı]],2,0))</f>
        <v/>
      </c>
      <c r="I55" s="42" t="str">
        <f>IF(ISBLANK(Sacak[[#This Row],[En]]),"",G55*H55)</f>
        <v/>
      </c>
      <c r="J55" s="43" t="str">
        <f>IF(ISBLANK(Sacak[[#This Row],[En]]),"",SUMIF(Sacak[Adı Soyadı],Sacak[[#This Row],[Adı Soyadı]],Sacak[TUTAR]))</f>
        <v/>
      </c>
    </row>
    <row r="56" spans="2:10" ht="15.6" thickTop="1" thickBot="1" x14ac:dyDescent="0.35">
      <c r="B56" s="15" t="str">
        <f>IF(ISBLANK(C56),"",SUBTOTAL(3, $C$3:C56))</f>
        <v/>
      </c>
      <c r="C56" s="31"/>
      <c r="D56" s="16"/>
      <c r="E56" s="17"/>
      <c r="F56" s="17"/>
      <c r="G56" s="17"/>
      <c r="H56" s="42" t="str">
        <f>IF(ISBLANK(Sacak[[#This Row],[En]]),"",VLOOKUP(Sacak[[#This Row],[En]],Fiyat[[Ölçü]:[Birim Fiyatı]],2,0))</f>
        <v/>
      </c>
      <c r="I56" s="42" t="str">
        <f>IF(ISBLANK(Sacak[[#This Row],[En]]),"",G56*H56)</f>
        <v/>
      </c>
      <c r="J56" s="43" t="str">
        <f>IF(ISBLANK(Sacak[[#This Row],[En]]),"",SUMIF(Sacak[Adı Soyadı],Sacak[[#This Row],[Adı Soyadı]],Sacak[TUTAR]))</f>
        <v/>
      </c>
    </row>
    <row r="57" spans="2:10" ht="15.6" thickTop="1" thickBot="1" x14ac:dyDescent="0.35">
      <c r="B57" s="15" t="str">
        <f>IF(ISBLANK(C57),"",SUBTOTAL(3, $C$3:C57))</f>
        <v/>
      </c>
      <c r="C57" s="31"/>
      <c r="D57" s="16"/>
      <c r="E57" s="17"/>
      <c r="F57" s="17"/>
      <c r="G57" s="17"/>
      <c r="H57" s="42" t="str">
        <f>IF(ISBLANK(Sacak[[#This Row],[En]]),"",VLOOKUP(Sacak[[#This Row],[En]],Fiyat[[Ölçü]:[Birim Fiyatı]],2,0))</f>
        <v/>
      </c>
      <c r="I57" s="42" t="str">
        <f>IF(ISBLANK(Sacak[[#This Row],[En]]),"",G57*H57)</f>
        <v/>
      </c>
      <c r="J57" s="43" t="str">
        <f>IF(ISBLANK(Sacak[[#This Row],[En]]),"",SUMIF(Sacak[Adı Soyadı],Sacak[[#This Row],[Adı Soyadı]],Sacak[TUTAR]))</f>
        <v/>
      </c>
    </row>
    <row r="58" spans="2:10" ht="15.6" thickTop="1" thickBot="1" x14ac:dyDescent="0.35">
      <c r="B58" s="15" t="str">
        <f>IF(ISBLANK(C58),"",SUBTOTAL(3, $C$3:C58))</f>
        <v/>
      </c>
      <c r="C58" s="31"/>
      <c r="D58" s="16"/>
      <c r="E58" s="17"/>
      <c r="F58" s="17"/>
      <c r="G58" s="17"/>
      <c r="H58" s="42" t="str">
        <f>IF(ISBLANK(Sacak[[#This Row],[En]]),"",VLOOKUP(Sacak[[#This Row],[En]],Fiyat[[Ölçü]:[Birim Fiyatı]],2,0))</f>
        <v/>
      </c>
      <c r="I58" s="42" t="str">
        <f>IF(ISBLANK(Sacak[[#This Row],[En]]),"",G58*H58)</f>
        <v/>
      </c>
      <c r="J58" s="43" t="str">
        <f>IF(ISBLANK(Sacak[[#This Row],[En]]),"",SUMIF(Sacak[Adı Soyadı],Sacak[[#This Row],[Adı Soyadı]],Sacak[TUTAR]))</f>
        <v/>
      </c>
    </row>
    <row r="59" spans="2:10" ht="15.6" thickTop="1" thickBot="1" x14ac:dyDescent="0.35">
      <c r="B59" s="15" t="str">
        <f>IF(ISBLANK(C59),"",SUBTOTAL(3, $C$3:C59))</f>
        <v/>
      </c>
      <c r="C59" s="31"/>
      <c r="D59" s="16"/>
      <c r="E59" s="17"/>
      <c r="F59" s="17"/>
      <c r="G59" s="17"/>
      <c r="H59" s="42" t="str">
        <f>IF(ISBLANK(Sacak[[#This Row],[En]]),"",VLOOKUP(Sacak[[#This Row],[En]],Fiyat[[Ölçü]:[Birim Fiyatı]],2,0))</f>
        <v/>
      </c>
      <c r="I59" s="42" t="str">
        <f>IF(ISBLANK(Sacak[[#This Row],[En]]),"",G59*H59)</f>
        <v/>
      </c>
      <c r="J59" s="43" t="str">
        <f>IF(ISBLANK(Sacak[[#This Row],[En]]),"",SUMIF(Sacak[Adı Soyadı],Sacak[[#This Row],[Adı Soyadı]],Sacak[TUTAR]))</f>
        <v/>
      </c>
    </row>
    <row r="60" spans="2:10" ht="15.6" thickTop="1" thickBot="1" x14ac:dyDescent="0.35">
      <c r="B60" s="15" t="str">
        <f>IF(ISBLANK(C60),"",SUBTOTAL(3, $C$3:C60))</f>
        <v/>
      </c>
      <c r="C60" s="31"/>
      <c r="D60" s="16"/>
      <c r="E60" s="17"/>
      <c r="F60" s="17"/>
      <c r="G60" s="17"/>
      <c r="H60" s="42" t="str">
        <f>IF(ISBLANK(Sacak[[#This Row],[En]]),"",VLOOKUP(Sacak[[#This Row],[En]],Fiyat[[Ölçü]:[Birim Fiyatı]],2,0))</f>
        <v/>
      </c>
      <c r="I60" s="42" t="str">
        <f>IF(ISBLANK(Sacak[[#This Row],[En]]),"",G60*H60)</f>
        <v/>
      </c>
      <c r="J60" s="43" t="str">
        <f>IF(ISBLANK(Sacak[[#This Row],[En]]),"",SUMIF(Sacak[Adı Soyadı],Sacak[[#This Row],[Adı Soyadı]],Sacak[TUTAR]))</f>
        <v/>
      </c>
    </row>
    <row r="61" spans="2:10" ht="15.6" thickTop="1" thickBot="1" x14ac:dyDescent="0.35">
      <c r="B61" s="15" t="str">
        <f>IF(ISBLANK(C61),"",SUBTOTAL(3, $C$3:C61))</f>
        <v/>
      </c>
      <c r="C61" s="31"/>
      <c r="D61" s="16"/>
      <c r="E61" s="17"/>
      <c r="F61" s="17"/>
      <c r="G61" s="17"/>
      <c r="H61" s="42" t="str">
        <f>IF(ISBLANK(Sacak[[#This Row],[En]]),"",VLOOKUP(Sacak[[#This Row],[En]],Fiyat[[Ölçü]:[Birim Fiyatı]],2,0))</f>
        <v/>
      </c>
      <c r="I61" s="42" t="str">
        <f>IF(ISBLANK(Sacak[[#This Row],[En]]),"",G61*H61)</f>
        <v/>
      </c>
      <c r="J61" s="43" t="str">
        <f>IF(ISBLANK(Sacak[[#This Row],[En]]),"",SUMIF(Sacak[Adı Soyadı],Sacak[[#This Row],[Adı Soyadı]],Sacak[TUTAR]))</f>
        <v/>
      </c>
    </row>
    <row r="62" spans="2:10" ht="15.6" thickTop="1" thickBot="1" x14ac:dyDescent="0.35">
      <c r="B62" s="15" t="str">
        <f>IF(ISBLANK(C62),"",SUBTOTAL(3, $C$3:C62))</f>
        <v/>
      </c>
      <c r="C62" s="31"/>
      <c r="D62" s="16"/>
      <c r="E62" s="17"/>
      <c r="F62" s="17"/>
      <c r="G62" s="17"/>
      <c r="H62" s="42" t="str">
        <f>IF(ISBLANK(Sacak[[#This Row],[En]]),"",VLOOKUP(Sacak[[#This Row],[En]],Fiyat[[Ölçü]:[Birim Fiyatı]],2,0))</f>
        <v/>
      </c>
      <c r="I62" s="42" t="str">
        <f>IF(ISBLANK(Sacak[[#This Row],[En]]),"",G62*H62)</f>
        <v/>
      </c>
      <c r="J62" s="43" t="str">
        <f>IF(ISBLANK(Sacak[[#This Row],[En]]),"",SUMIF(Sacak[Adı Soyadı],Sacak[[#This Row],[Adı Soyadı]],Sacak[TUTAR]))</f>
        <v/>
      </c>
    </row>
    <row r="63" spans="2:10" ht="15.6" thickTop="1" thickBot="1" x14ac:dyDescent="0.35">
      <c r="B63" s="15" t="str">
        <f>IF(ISBLANK(C63),"",SUBTOTAL(3, $C$3:C63))</f>
        <v/>
      </c>
      <c r="C63" s="31"/>
      <c r="D63" s="16"/>
      <c r="E63" s="17"/>
      <c r="F63" s="17"/>
      <c r="G63" s="17"/>
      <c r="H63" s="42" t="str">
        <f>IF(ISBLANK(Sacak[[#This Row],[En]]),"",VLOOKUP(Sacak[[#This Row],[En]],Fiyat[[Ölçü]:[Birim Fiyatı]],2,0))</f>
        <v/>
      </c>
      <c r="I63" s="42" t="str">
        <f>IF(ISBLANK(Sacak[[#This Row],[En]]),"",G63*H63)</f>
        <v/>
      </c>
      <c r="J63" s="43" t="str">
        <f>IF(ISBLANK(Sacak[[#This Row],[En]]),"",SUMIF(Sacak[Adı Soyadı],Sacak[[#This Row],[Adı Soyadı]],Sacak[TUTAR]))</f>
        <v/>
      </c>
    </row>
    <row r="64" spans="2:10" ht="15.6" thickTop="1" thickBot="1" x14ac:dyDescent="0.35">
      <c r="B64" s="15" t="str">
        <f>IF(ISBLANK(C64),"",SUBTOTAL(3, $C$3:C64))</f>
        <v/>
      </c>
      <c r="C64" s="31"/>
      <c r="D64" s="16"/>
      <c r="E64" s="17"/>
      <c r="F64" s="17"/>
      <c r="G64" s="17"/>
      <c r="H64" s="42" t="str">
        <f>IF(ISBLANK(Sacak[[#This Row],[En]]),"",VLOOKUP(Sacak[[#This Row],[En]],Fiyat[[Ölçü]:[Birim Fiyatı]],2,0))</f>
        <v/>
      </c>
      <c r="I64" s="42" t="str">
        <f>IF(ISBLANK(Sacak[[#This Row],[En]]),"",G64*H64)</f>
        <v/>
      </c>
      <c r="J64" s="43" t="str">
        <f>IF(ISBLANK(Sacak[[#This Row],[En]]),"",SUMIF(Sacak[Adı Soyadı],Sacak[[#This Row],[Adı Soyadı]],Sacak[TUTAR]))</f>
        <v/>
      </c>
    </row>
    <row r="65" spans="2:10" ht="15.6" thickTop="1" thickBot="1" x14ac:dyDescent="0.35">
      <c r="B65" s="15" t="str">
        <f>IF(ISBLANK(C65),"",SUBTOTAL(3, $C$3:C65))</f>
        <v/>
      </c>
      <c r="C65" s="31"/>
      <c r="D65" s="16"/>
      <c r="E65" s="17"/>
      <c r="F65" s="17"/>
      <c r="G65" s="17"/>
      <c r="H65" s="42" t="str">
        <f>IF(ISBLANK(Sacak[[#This Row],[En]]),"",VLOOKUP(Sacak[[#This Row],[En]],Fiyat[[Ölçü]:[Birim Fiyatı]],2,0))</f>
        <v/>
      </c>
      <c r="I65" s="42" t="str">
        <f>IF(ISBLANK(Sacak[[#This Row],[En]]),"",G65*H65)</f>
        <v/>
      </c>
      <c r="J65" s="43" t="str">
        <f>IF(ISBLANK(Sacak[[#This Row],[En]]),"",SUMIF(Sacak[Adı Soyadı],Sacak[[#This Row],[Adı Soyadı]],Sacak[TUTAR]))</f>
        <v/>
      </c>
    </row>
    <row r="66" spans="2:10" ht="15.6" thickTop="1" thickBot="1" x14ac:dyDescent="0.35">
      <c r="B66" s="15" t="str">
        <f>IF(ISBLANK(C66),"",SUBTOTAL(3, $C$3:C66))</f>
        <v/>
      </c>
      <c r="C66" s="31"/>
      <c r="D66" s="16"/>
      <c r="E66" s="17"/>
      <c r="F66" s="17"/>
      <c r="G66" s="17"/>
      <c r="H66" s="42" t="str">
        <f>IF(ISBLANK(Sacak[[#This Row],[En]]),"",VLOOKUP(Sacak[[#This Row],[En]],Fiyat[[Ölçü]:[Birim Fiyatı]],2,0))</f>
        <v/>
      </c>
      <c r="I66" s="42" t="str">
        <f>IF(ISBLANK(Sacak[[#This Row],[En]]),"",G66*H66)</f>
        <v/>
      </c>
      <c r="J66" s="43" t="str">
        <f>IF(ISBLANK(Sacak[[#This Row],[En]]),"",SUMIF(Sacak[Adı Soyadı],Sacak[[#This Row],[Adı Soyadı]],Sacak[TUTAR]))</f>
        <v/>
      </c>
    </row>
    <row r="67" spans="2:10" ht="15.6" thickTop="1" thickBot="1" x14ac:dyDescent="0.35">
      <c r="B67" s="15" t="str">
        <f>IF(ISBLANK(C67),"",SUBTOTAL(3, $C$3:C67))</f>
        <v/>
      </c>
      <c r="C67" s="31"/>
      <c r="D67" s="16"/>
      <c r="E67" s="17"/>
      <c r="F67" s="17"/>
      <c r="G67" s="17"/>
      <c r="H67" s="42" t="str">
        <f>IF(ISBLANK(Sacak[[#This Row],[En]]),"",VLOOKUP(Sacak[[#This Row],[En]],Fiyat[[Ölçü]:[Birim Fiyatı]],2,0))</f>
        <v/>
      </c>
      <c r="I67" s="42" t="str">
        <f>IF(ISBLANK(Sacak[[#This Row],[En]]),"",G67*H67)</f>
        <v/>
      </c>
      <c r="J67" s="43" t="str">
        <f>IF(ISBLANK(Sacak[[#This Row],[En]]),"",SUMIF(Sacak[Adı Soyadı],Sacak[[#This Row],[Adı Soyadı]],Sacak[TUTAR]))</f>
        <v/>
      </c>
    </row>
    <row r="68" spans="2:10" ht="15.6" thickTop="1" thickBot="1" x14ac:dyDescent="0.35">
      <c r="B68" s="15" t="str">
        <f>IF(ISBLANK(C68),"",SUBTOTAL(3, $C$3:C68))</f>
        <v/>
      </c>
      <c r="C68" s="31"/>
      <c r="D68" s="16"/>
      <c r="E68" s="17"/>
      <c r="F68" s="17"/>
      <c r="G68" s="17"/>
      <c r="H68" s="42" t="str">
        <f>IF(ISBLANK(Sacak[[#This Row],[En]]),"",VLOOKUP(Sacak[[#This Row],[En]],Fiyat[[Ölçü]:[Birim Fiyatı]],2,0))</f>
        <v/>
      </c>
      <c r="I68" s="42" t="str">
        <f>IF(ISBLANK(Sacak[[#This Row],[En]]),"",G68*H68)</f>
        <v/>
      </c>
      <c r="J68" s="43" t="str">
        <f>IF(ISBLANK(Sacak[[#This Row],[En]]),"",SUMIF(Sacak[Adı Soyadı],Sacak[[#This Row],[Adı Soyadı]],Sacak[TUTAR]))</f>
        <v/>
      </c>
    </row>
    <row r="69" spans="2:10" ht="15.6" thickTop="1" thickBot="1" x14ac:dyDescent="0.35">
      <c r="B69" s="15" t="str">
        <f>IF(ISBLANK(C69),"",SUBTOTAL(3, $C$3:C69))</f>
        <v/>
      </c>
      <c r="C69" s="31"/>
      <c r="D69" s="16"/>
      <c r="E69" s="17"/>
      <c r="F69" s="17"/>
      <c r="G69" s="17"/>
      <c r="H69" s="42" t="str">
        <f>IF(ISBLANK(Sacak[[#This Row],[En]]),"",VLOOKUP(Sacak[[#This Row],[En]],Fiyat[[Ölçü]:[Birim Fiyatı]],2,0))</f>
        <v/>
      </c>
      <c r="I69" s="42" t="str">
        <f>IF(ISBLANK(Sacak[[#This Row],[En]]),"",G69*H69)</f>
        <v/>
      </c>
      <c r="J69" s="43" t="str">
        <f>IF(ISBLANK(Sacak[[#This Row],[En]]),"",SUMIF(Sacak[Adı Soyadı],Sacak[[#This Row],[Adı Soyadı]],Sacak[TUTAR]))</f>
        <v/>
      </c>
    </row>
    <row r="70" spans="2:10" ht="15.6" thickTop="1" thickBot="1" x14ac:dyDescent="0.35">
      <c r="B70" s="15" t="str">
        <f>IF(ISBLANK(C70),"",SUBTOTAL(3, $C$3:C70))</f>
        <v/>
      </c>
      <c r="C70" s="31"/>
      <c r="D70" s="16"/>
      <c r="E70" s="17"/>
      <c r="F70" s="17"/>
      <c r="G70" s="17"/>
      <c r="H70" s="42" t="str">
        <f>IF(ISBLANK(Sacak[[#This Row],[En]]),"",VLOOKUP(Sacak[[#This Row],[En]],Fiyat[[Ölçü]:[Birim Fiyatı]],2,0))</f>
        <v/>
      </c>
      <c r="I70" s="42" t="str">
        <f>IF(ISBLANK(Sacak[[#This Row],[En]]),"",G70*H70)</f>
        <v/>
      </c>
      <c r="J70" s="43" t="str">
        <f>IF(ISBLANK(Sacak[[#This Row],[En]]),"",SUMIF(Sacak[Adı Soyadı],Sacak[[#This Row],[Adı Soyadı]],Sacak[TUTAR]))</f>
        <v/>
      </c>
    </row>
    <row r="71" spans="2:10" ht="15.6" thickTop="1" thickBot="1" x14ac:dyDescent="0.35">
      <c r="B71" s="15" t="str">
        <f>IF(ISBLANK(C71),"",SUBTOTAL(3, $C$3:C71))</f>
        <v/>
      </c>
      <c r="C71" s="31"/>
      <c r="D71" s="16"/>
      <c r="E71" s="17"/>
      <c r="F71" s="17"/>
      <c r="G71" s="17"/>
      <c r="H71" s="42" t="str">
        <f>IF(ISBLANK(Sacak[[#This Row],[En]]),"",VLOOKUP(Sacak[[#This Row],[En]],Fiyat[[Ölçü]:[Birim Fiyatı]],2,0))</f>
        <v/>
      </c>
      <c r="I71" s="42" t="str">
        <f>IF(ISBLANK(Sacak[[#This Row],[En]]),"",G71*H71)</f>
        <v/>
      </c>
      <c r="J71" s="43" t="str">
        <f>IF(ISBLANK(Sacak[[#This Row],[En]]),"",SUMIF(Sacak[Adı Soyadı],Sacak[[#This Row],[Adı Soyadı]],Sacak[TUTAR]))</f>
        <v/>
      </c>
    </row>
    <row r="72" spans="2:10" ht="15.6" thickTop="1" thickBot="1" x14ac:dyDescent="0.35">
      <c r="B72" s="15" t="str">
        <f>IF(ISBLANK(C72),"",SUBTOTAL(3, $C$3:C72))</f>
        <v/>
      </c>
      <c r="C72" s="31"/>
      <c r="D72" s="16"/>
      <c r="E72" s="17"/>
      <c r="F72" s="17"/>
      <c r="G72" s="17"/>
      <c r="H72" s="42" t="str">
        <f>IF(ISBLANK(Sacak[[#This Row],[En]]),"",VLOOKUP(Sacak[[#This Row],[En]],Fiyat[[Ölçü]:[Birim Fiyatı]],2,0))</f>
        <v/>
      </c>
      <c r="I72" s="42" t="str">
        <f>IF(ISBLANK(Sacak[[#This Row],[En]]),"",G72*H72)</f>
        <v/>
      </c>
      <c r="J72" s="43" t="str">
        <f>IF(ISBLANK(Sacak[[#This Row],[En]]),"",SUMIF(Sacak[Adı Soyadı],Sacak[[#This Row],[Adı Soyadı]],Sacak[TUTAR]))</f>
        <v/>
      </c>
    </row>
    <row r="73" spans="2:10" ht="15.6" thickTop="1" thickBot="1" x14ac:dyDescent="0.35">
      <c r="B73" s="15" t="str">
        <f>IF(ISBLANK(C73),"",SUBTOTAL(3, $C$3:C73))</f>
        <v/>
      </c>
      <c r="C73" s="31"/>
      <c r="D73" s="16"/>
      <c r="E73" s="17"/>
      <c r="F73" s="17"/>
      <c r="G73" s="17"/>
      <c r="H73" s="42" t="str">
        <f>IF(ISBLANK(Sacak[[#This Row],[En]]),"",VLOOKUP(Sacak[[#This Row],[En]],Fiyat[[Ölçü]:[Birim Fiyatı]],2,0))</f>
        <v/>
      </c>
      <c r="I73" s="42" t="str">
        <f>IF(ISBLANK(Sacak[[#This Row],[En]]),"",G73*H73)</f>
        <v/>
      </c>
      <c r="J73" s="43" t="str">
        <f>IF(ISBLANK(Sacak[[#This Row],[En]]),"",SUMIF(Sacak[Adı Soyadı],Sacak[[#This Row],[Adı Soyadı]],Sacak[TUTAR]))</f>
        <v/>
      </c>
    </row>
    <row r="74" spans="2:10" ht="15.6" thickTop="1" thickBot="1" x14ac:dyDescent="0.35">
      <c r="B74" s="15" t="str">
        <f>IF(ISBLANK(C74),"",SUBTOTAL(3, $C$3:C74))</f>
        <v/>
      </c>
      <c r="C74" s="31"/>
      <c r="D74" s="16"/>
      <c r="E74" s="17"/>
      <c r="F74" s="17"/>
      <c r="G74" s="17"/>
      <c r="H74" s="42" t="str">
        <f>IF(ISBLANK(Sacak[[#This Row],[En]]),"",VLOOKUP(Sacak[[#This Row],[En]],Fiyat[[Ölçü]:[Birim Fiyatı]],2,0))</f>
        <v/>
      </c>
      <c r="I74" s="42" t="str">
        <f>IF(ISBLANK(Sacak[[#This Row],[En]]),"",G74*H74)</f>
        <v/>
      </c>
      <c r="J74" s="43" t="str">
        <f>IF(ISBLANK(Sacak[[#This Row],[En]]),"",SUMIF(Sacak[Adı Soyadı],Sacak[[#This Row],[Adı Soyadı]],Sacak[TUTAR]))</f>
        <v/>
      </c>
    </row>
    <row r="75" spans="2:10" ht="15.6" thickTop="1" thickBot="1" x14ac:dyDescent="0.35">
      <c r="B75" s="15" t="str">
        <f>IF(ISBLANK(C75),"",SUBTOTAL(3, $C$3:C75))</f>
        <v/>
      </c>
      <c r="C75" s="31"/>
      <c r="D75" s="16"/>
      <c r="E75" s="17"/>
      <c r="F75" s="17"/>
      <c r="G75" s="17"/>
      <c r="H75" s="42" t="str">
        <f>IF(ISBLANK(Sacak[[#This Row],[En]]),"",VLOOKUP(Sacak[[#This Row],[En]],Fiyat[[Ölçü]:[Birim Fiyatı]],2,0))</f>
        <v/>
      </c>
      <c r="I75" s="42" t="str">
        <f>IF(ISBLANK(Sacak[[#This Row],[En]]),"",G75*H75)</f>
        <v/>
      </c>
      <c r="J75" s="43" t="str">
        <f>IF(ISBLANK(Sacak[[#This Row],[En]]),"",SUMIF(Sacak[Adı Soyadı],Sacak[[#This Row],[Adı Soyadı]],Sacak[TUTAR]))</f>
        <v/>
      </c>
    </row>
    <row r="76" spans="2:10" ht="15.6" thickTop="1" thickBot="1" x14ac:dyDescent="0.35">
      <c r="B76" s="15" t="str">
        <f>IF(ISBLANK(C76),"",SUBTOTAL(3, $C$3:C76))</f>
        <v/>
      </c>
      <c r="C76" s="31"/>
      <c r="D76" s="16"/>
      <c r="E76" s="17"/>
      <c r="F76" s="17"/>
      <c r="G76" s="17"/>
      <c r="H76" s="42" t="str">
        <f>IF(ISBLANK(Sacak[[#This Row],[En]]),"",VLOOKUP(Sacak[[#This Row],[En]],Fiyat[[Ölçü]:[Birim Fiyatı]],2,0))</f>
        <v/>
      </c>
      <c r="I76" s="42" t="str">
        <f>IF(ISBLANK(Sacak[[#This Row],[En]]),"",G76*H76)</f>
        <v/>
      </c>
      <c r="J76" s="43" t="str">
        <f>IF(ISBLANK(Sacak[[#This Row],[En]]),"",SUMIF(Sacak[Adı Soyadı],Sacak[[#This Row],[Adı Soyadı]],Sacak[TUTAR]))</f>
        <v/>
      </c>
    </row>
    <row r="77" spans="2:10" ht="15.6" thickTop="1" thickBot="1" x14ac:dyDescent="0.35">
      <c r="B77" s="15" t="str">
        <f>IF(ISBLANK(C77),"",SUBTOTAL(3, $C$3:C77))</f>
        <v/>
      </c>
      <c r="C77" s="31"/>
      <c r="D77" s="16"/>
      <c r="E77" s="17"/>
      <c r="F77" s="17"/>
      <c r="G77" s="17"/>
      <c r="H77" s="42" t="str">
        <f>IF(ISBLANK(Sacak[[#This Row],[En]]),"",VLOOKUP(Sacak[[#This Row],[En]],Fiyat[[Ölçü]:[Birim Fiyatı]],2,0))</f>
        <v/>
      </c>
      <c r="I77" s="42" t="str">
        <f>IF(ISBLANK(Sacak[[#This Row],[En]]),"",G77*H77)</f>
        <v/>
      </c>
      <c r="J77" s="43" t="str">
        <f>IF(ISBLANK(Sacak[[#This Row],[En]]),"",SUMIF(Sacak[Adı Soyadı],Sacak[[#This Row],[Adı Soyadı]],Sacak[TUTAR]))</f>
        <v/>
      </c>
    </row>
    <row r="78" spans="2:10" ht="15.6" thickTop="1" thickBot="1" x14ac:dyDescent="0.35">
      <c r="B78" s="15" t="str">
        <f>IF(ISBLANK(C78),"",SUBTOTAL(3, $C$3:C78))</f>
        <v/>
      </c>
      <c r="C78" s="31"/>
      <c r="D78" s="16"/>
      <c r="E78" s="17"/>
      <c r="F78" s="17"/>
      <c r="G78" s="17"/>
      <c r="H78" s="42" t="str">
        <f>IF(ISBLANK(Sacak[[#This Row],[En]]),"",VLOOKUP(Sacak[[#This Row],[En]],Fiyat[[Ölçü]:[Birim Fiyatı]],2,0))</f>
        <v/>
      </c>
      <c r="I78" s="42" t="str">
        <f>IF(ISBLANK(Sacak[[#This Row],[En]]),"",G78*H78)</f>
        <v/>
      </c>
      <c r="J78" s="43" t="str">
        <f>IF(ISBLANK(Sacak[[#This Row],[En]]),"",SUMIF(Sacak[Adı Soyadı],Sacak[[#This Row],[Adı Soyadı]],Sacak[TUTAR]))</f>
        <v/>
      </c>
    </row>
    <row r="79" spans="2:10" ht="15.6" thickTop="1" thickBot="1" x14ac:dyDescent="0.35">
      <c r="B79" s="15" t="str">
        <f>IF(ISBLANK(C79),"",SUBTOTAL(3, $C$3:C79))</f>
        <v/>
      </c>
      <c r="C79" s="31"/>
      <c r="D79" s="16"/>
      <c r="E79" s="17"/>
      <c r="F79" s="17"/>
      <c r="G79" s="17"/>
      <c r="H79" s="42" t="str">
        <f>IF(ISBLANK(Sacak[[#This Row],[En]]),"",VLOOKUP(Sacak[[#This Row],[En]],Fiyat[[Ölçü]:[Birim Fiyatı]],2,0))</f>
        <v/>
      </c>
      <c r="I79" s="42" t="str">
        <f>IF(ISBLANK(Sacak[[#This Row],[En]]),"",G79*H79)</f>
        <v/>
      </c>
      <c r="J79" s="43" t="str">
        <f>IF(ISBLANK(Sacak[[#This Row],[En]]),"",SUMIF(Sacak[Adı Soyadı],Sacak[[#This Row],[Adı Soyadı]],Sacak[TUTAR]))</f>
        <v/>
      </c>
    </row>
    <row r="80" spans="2:10" ht="15.6" thickTop="1" thickBot="1" x14ac:dyDescent="0.35">
      <c r="B80" s="15" t="str">
        <f>IF(ISBLANK(C80),"",SUBTOTAL(3, $C$3:C80))</f>
        <v/>
      </c>
      <c r="C80" s="31"/>
      <c r="D80" s="16"/>
      <c r="E80" s="17"/>
      <c r="F80" s="17"/>
      <c r="G80" s="17"/>
      <c r="H80" s="42" t="str">
        <f>IF(ISBLANK(Sacak[[#This Row],[En]]),"",VLOOKUP(Sacak[[#This Row],[En]],Fiyat[[Ölçü]:[Birim Fiyatı]],2,0))</f>
        <v/>
      </c>
      <c r="I80" s="42" t="str">
        <f>IF(ISBLANK(Sacak[[#This Row],[En]]),"",G80*H80)</f>
        <v/>
      </c>
      <c r="J80" s="43" t="str">
        <f>IF(ISBLANK(Sacak[[#This Row],[En]]),"",SUMIF(Sacak[Adı Soyadı],Sacak[[#This Row],[Adı Soyadı]],Sacak[TUTAR]))</f>
        <v/>
      </c>
    </row>
    <row r="81" spans="2:10" ht="15.6" thickTop="1" thickBot="1" x14ac:dyDescent="0.35">
      <c r="B81" s="15" t="str">
        <f>IF(ISBLANK(C81),"",SUBTOTAL(3, $C$3:C81))</f>
        <v/>
      </c>
      <c r="C81" s="31"/>
      <c r="D81" s="16"/>
      <c r="E81" s="17"/>
      <c r="F81" s="17"/>
      <c r="G81" s="17"/>
      <c r="H81" s="42" t="str">
        <f>IF(ISBLANK(Sacak[[#This Row],[En]]),"",VLOOKUP(Sacak[[#This Row],[En]],Fiyat[[Ölçü]:[Birim Fiyatı]],2,0))</f>
        <v/>
      </c>
      <c r="I81" s="42" t="str">
        <f>IF(ISBLANK(Sacak[[#This Row],[En]]),"",G81*H81)</f>
        <v/>
      </c>
      <c r="J81" s="43" t="str">
        <f>IF(ISBLANK(Sacak[[#This Row],[En]]),"",SUMIF(Sacak[Adı Soyadı],Sacak[[#This Row],[Adı Soyadı]],Sacak[TUTAR]))</f>
        <v/>
      </c>
    </row>
    <row r="82" spans="2:10" ht="15.6" thickTop="1" thickBot="1" x14ac:dyDescent="0.35">
      <c r="B82" s="15" t="str">
        <f>IF(ISBLANK(C82),"",SUBTOTAL(3, $C$3:C82))</f>
        <v/>
      </c>
      <c r="C82" s="31"/>
      <c r="D82" s="16"/>
      <c r="E82" s="17"/>
      <c r="F82" s="17"/>
      <c r="G82" s="17"/>
      <c r="H82" s="42" t="str">
        <f>IF(ISBLANK(Sacak[[#This Row],[En]]),"",VLOOKUP(Sacak[[#This Row],[En]],Fiyat[[Ölçü]:[Birim Fiyatı]],2,0))</f>
        <v/>
      </c>
      <c r="I82" s="42" t="str">
        <f>IF(ISBLANK(Sacak[[#This Row],[En]]),"",G82*H82)</f>
        <v/>
      </c>
      <c r="J82" s="43" t="str">
        <f>IF(ISBLANK(Sacak[[#This Row],[En]]),"",SUMIF(Sacak[Adı Soyadı],Sacak[[#This Row],[Adı Soyadı]],Sacak[TUTAR]))</f>
        <v/>
      </c>
    </row>
    <row r="83" spans="2:10" ht="15.6" thickTop="1" thickBot="1" x14ac:dyDescent="0.35">
      <c r="B83" s="15" t="str">
        <f>IF(ISBLANK(C83),"",SUBTOTAL(3, $C$3:C83))</f>
        <v/>
      </c>
      <c r="C83" s="31"/>
      <c r="D83" s="16"/>
      <c r="E83" s="17"/>
      <c r="F83" s="17"/>
      <c r="G83" s="17"/>
      <c r="H83" s="42" t="str">
        <f>IF(ISBLANK(Sacak[[#This Row],[En]]),"",VLOOKUP(Sacak[[#This Row],[En]],Fiyat[[Ölçü]:[Birim Fiyatı]],2,0))</f>
        <v/>
      </c>
      <c r="I83" s="42" t="str">
        <f>IF(ISBLANK(Sacak[[#This Row],[En]]),"",G83*H83)</f>
        <v/>
      </c>
      <c r="J83" s="43" t="str">
        <f>IF(ISBLANK(Sacak[[#This Row],[En]]),"",SUMIF(Sacak[Adı Soyadı],Sacak[[#This Row],[Adı Soyadı]],Sacak[TUTAR]))</f>
        <v/>
      </c>
    </row>
    <row r="84" spans="2:10" ht="15.6" thickTop="1" thickBot="1" x14ac:dyDescent="0.35">
      <c r="B84" s="15" t="str">
        <f>IF(ISBLANK(C84),"",SUBTOTAL(3, $C$3:C84))</f>
        <v/>
      </c>
      <c r="C84" s="31"/>
      <c r="D84" s="16"/>
      <c r="E84" s="17"/>
      <c r="F84" s="17"/>
      <c r="G84" s="17"/>
      <c r="H84" s="42" t="str">
        <f>IF(ISBLANK(Sacak[[#This Row],[En]]),"",VLOOKUP(Sacak[[#This Row],[En]],Fiyat[[Ölçü]:[Birim Fiyatı]],2,0))</f>
        <v/>
      </c>
      <c r="I84" s="42" t="str">
        <f>IF(ISBLANK(Sacak[[#This Row],[En]]),"",G84*H84)</f>
        <v/>
      </c>
      <c r="J84" s="43" t="str">
        <f>IF(ISBLANK(Sacak[[#This Row],[En]]),"",SUMIF(Sacak[Adı Soyadı],Sacak[[#This Row],[Adı Soyadı]],Sacak[TUTAR]))</f>
        <v/>
      </c>
    </row>
    <row r="85" spans="2:10" ht="15.6" thickTop="1" thickBot="1" x14ac:dyDescent="0.35">
      <c r="B85" s="15" t="str">
        <f>IF(ISBLANK(C85),"",SUBTOTAL(3, $C$3:C85))</f>
        <v/>
      </c>
      <c r="C85" s="31"/>
      <c r="D85" s="16"/>
      <c r="E85" s="17"/>
      <c r="F85" s="17"/>
      <c r="G85" s="17"/>
      <c r="H85" s="42" t="str">
        <f>IF(ISBLANK(Sacak[[#This Row],[En]]),"",VLOOKUP(Sacak[[#This Row],[En]],Fiyat[[Ölçü]:[Birim Fiyatı]],2,0))</f>
        <v/>
      </c>
      <c r="I85" s="42" t="str">
        <f>IF(ISBLANK(Sacak[[#This Row],[En]]),"",G85*H85)</f>
        <v/>
      </c>
      <c r="J85" s="43" t="str">
        <f>IF(ISBLANK(Sacak[[#This Row],[En]]),"",SUMIF(Sacak[Adı Soyadı],Sacak[[#This Row],[Adı Soyadı]],Sacak[TUTAR]))</f>
        <v/>
      </c>
    </row>
    <row r="86" spans="2:10" ht="15.6" thickTop="1" thickBot="1" x14ac:dyDescent="0.35">
      <c r="B86" s="15" t="str">
        <f>IF(ISBLANK(C86),"",SUBTOTAL(3, $C$3:C86))</f>
        <v/>
      </c>
      <c r="C86" s="31"/>
      <c r="D86" s="16"/>
      <c r="E86" s="17"/>
      <c r="F86" s="17"/>
      <c r="G86" s="17"/>
      <c r="H86" s="42" t="str">
        <f>IF(ISBLANK(Sacak[[#This Row],[En]]),"",VLOOKUP(Sacak[[#This Row],[En]],Fiyat[[Ölçü]:[Birim Fiyatı]],2,0))</f>
        <v/>
      </c>
      <c r="I86" s="42" t="str">
        <f>IF(ISBLANK(Sacak[[#This Row],[En]]),"",G86*H86)</f>
        <v/>
      </c>
      <c r="J86" s="43" t="str">
        <f>IF(ISBLANK(Sacak[[#This Row],[En]]),"",SUMIF(Sacak[Adı Soyadı],Sacak[[#This Row],[Adı Soyadı]],Sacak[TUTAR]))</f>
        <v/>
      </c>
    </row>
    <row r="87" spans="2:10" ht="15.6" thickTop="1" thickBot="1" x14ac:dyDescent="0.35">
      <c r="B87" s="15" t="str">
        <f>IF(ISBLANK(C87),"",SUBTOTAL(3, $C$3:C87))</f>
        <v/>
      </c>
      <c r="C87" s="31"/>
      <c r="D87" s="16"/>
      <c r="E87" s="17"/>
      <c r="F87" s="17"/>
      <c r="G87" s="17"/>
      <c r="H87" s="42" t="str">
        <f>IF(ISBLANK(Sacak[[#This Row],[En]]),"",VLOOKUP(Sacak[[#This Row],[En]],Fiyat[[Ölçü]:[Birim Fiyatı]],2,0))</f>
        <v/>
      </c>
      <c r="I87" s="42" t="str">
        <f>IF(ISBLANK(Sacak[[#This Row],[En]]),"",G87*H87)</f>
        <v/>
      </c>
      <c r="J87" s="43" t="str">
        <f>IF(ISBLANK(Sacak[[#This Row],[En]]),"",SUMIF(Sacak[Adı Soyadı],Sacak[[#This Row],[Adı Soyadı]],Sacak[TUTAR]))</f>
        <v/>
      </c>
    </row>
    <row r="88" spans="2:10" ht="15.6" thickTop="1" thickBot="1" x14ac:dyDescent="0.35">
      <c r="B88" s="15" t="str">
        <f>IF(ISBLANK(C88),"",SUBTOTAL(3, $C$3:C88))</f>
        <v/>
      </c>
      <c r="C88" s="31"/>
      <c r="D88" s="16"/>
      <c r="E88" s="17"/>
      <c r="F88" s="17"/>
      <c r="G88" s="17"/>
      <c r="H88" s="42" t="str">
        <f>IF(ISBLANK(Sacak[[#This Row],[En]]),"",VLOOKUP(Sacak[[#This Row],[En]],Fiyat[[Ölçü]:[Birim Fiyatı]],2,0))</f>
        <v/>
      </c>
      <c r="I88" s="42" t="str">
        <f>IF(ISBLANK(Sacak[[#This Row],[En]]),"",G88*H88)</f>
        <v/>
      </c>
      <c r="J88" s="43" t="str">
        <f>IF(ISBLANK(Sacak[[#This Row],[En]]),"",SUMIF(Sacak[Adı Soyadı],Sacak[[#This Row],[Adı Soyadı]],Sacak[TUTAR]))</f>
        <v/>
      </c>
    </row>
    <row r="89" spans="2:10" ht="15.6" thickTop="1" thickBot="1" x14ac:dyDescent="0.35">
      <c r="B89" s="15" t="str">
        <f>IF(ISBLANK(C89),"",SUBTOTAL(3, $C$3:C89))</f>
        <v/>
      </c>
      <c r="C89" s="31"/>
      <c r="D89" s="16"/>
      <c r="E89" s="17"/>
      <c r="F89" s="17"/>
      <c r="G89" s="17"/>
      <c r="H89" s="42" t="str">
        <f>IF(ISBLANK(Sacak[[#This Row],[En]]),"",VLOOKUP(Sacak[[#This Row],[En]],Fiyat[[Ölçü]:[Birim Fiyatı]],2,0))</f>
        <v/>
      </c>
      <c r="I89" s="42" t="str">
        <f>IF(ISBLANK(Sacak[[#This Row],[En]]),"",G89*H89)</f>
        <v/>
      </c>
      <c r="J89" s="43" t="str">
        <f>IF(ISBLANK(Sacak[[#This Row],[En]]),"",SUMIF(Sacak[Adı Soyadı],Sacak[[#This Row],[Adı Soyadı]],Sacak[TUTAR]))</f>
        <v/>
      </c>
    </row>
    <row r="90" spans="2:10" ht="15.6" thickTop="1" thickBot="1" x14ac:dyDescent="0.35">
      <c r="B90" s="15" t="str">
        <f>IF(ISBLANK(C90),"",SUBTOTAL(3, $C$3:C90))</f>
        <v/>
      </c>
      <c r="C90" s="31"/>
      <c r="D90" s="16"/>
      <c r="E90" s="17"/>
      <c r="F90" s="17"/>
      <c r="G90" s="17"/>
      <c r="H90" s="42" t="str">
        <f>IF(ISBLANK(Sacak[[#This Row],[En]]),"",VLOOKUP(Sacak[[#This Row],[En]],Fiyat[[Ölçü]:[Birim Fiyatı]],2,0))</f>
        <v/>
      </c>
      <c r="I90" s="42" t="str">
        <f>IF(ISBLANK(Sacak[[#This Row],[En]]),"",G90*H90)</f>
        <v/>
      </c>
      <c r="J90" s="43" t="str">
        <f>IF(ISBLANK(Sacak[[#This Row],[En]]),"",SUMIF(Sacak[Adı Soyadı],Sacak[[#This Row],[Adı Soyadı]],Sacak[TUTAR]))</f>
        <v/>
      </c>
    </row>
    <row r="91" spans="2:10" ht="15.6" thickTop="1" thickBot="1" x14ac:dyDescent="0.35">
      <c r="B91" s="15" t="str">
        <f>IF(ISBLANK(C91),"",SUBTOTAL(3, $C$3:C91))</f>
        <v/>
      </c>
      <c r="C91" s="31"/>
      <c r="D91" s="16"/>
      <c r="E91" s="17"/>
      <c r="F91" s="17"/>
      <c r="G91" s="17"/>
      <c r="H91" s="42" t="str">
        <f>IF(ISBLANK(Sacak[[#This Row],[En]]),"",VLOOKUP(Sacak[[#This Row],[En]],Fiyat[[Ölçü]:[Birim Fiyatı]],2,0))</f>
        <v/>
      </c>
      <c r="I91" s="42" t="str">
        <f>IF(ISBLANK(Sacak[[#This Row],[En]]),"",G91*H91)</f>
        <v/>
      </c>
      <c r="J91" s="43" t="str">
        <f>IF(ISBLANK(Sacak[[#This Row],[En]]),"",SUMIF(Sacak[Adı Soyadı],Sacak[[#This Row],[Adı Soyadı]],Sacak[TUTAR]))</f>
        <v/>
      </c>
    </row>
    <row r="92" spans="2:10" ht="15.6" thickTop="1" thickBot="1" x14ac:dyDescent="0.35">
      <c r="B92" s="15" t="str">
        <f>IF(ISBLANK(C92),"",SUBTOTAL(3, $C$3:C92))</f>
        <v/>
      </c>
      <c r="C92" s="31"/>
      <c r="D92" s="16"/>
      <c r="E92" s="17"/>
      <c r="F92" s="17"/>
      <c r="G92" s="17"/>
      <c r="H92" s="42" t="str">
        <f>IF(ISBLANK(Sacak[[#This Row],[En]]),"",VLOOKUP(Sacak[[#This Row],[En]],Fiyat[[Ölçü]:[Birim Fiyatı]],2,0))</f>
        <v/>
      </c>
      <c r="I92" s="42" t="str">
        <f>IF(ISBLANK(Sacak[[#This Row],[En]]),"",G92*H92)</f>
        <v/>
      </c>
      <c r="J92" s="43" t="str">
        <f>IF(ISBLANK(Sacak[[#This Row],[En]]),"",SUMIF(Sacak[Adı Soyadı],Sacak[[#This Row],[Adı Soyadı]],Sacak[TUTAR]))</f>
        <v/>
      </c>
    </row>
    <row r="93" spans="2:10" ht="15.6" thickTop="1" thickBot="1" x14ac:dyDescent="0.35">
      <c r="B93" s="15" t="str">
        <f>IF(ISBLANK(C93),"",SUBTOTAL(3, $C$3:C93))</f>
        <v/>
      </c>
      <c r="C93" s="31"/>
      <c r="D93" s="16"/>
      <c r="E93" s="17"/>
      <c r="F93" s="17"/>
      <c r="G93" s="17"/>
      <c r="H93" s="42" t="str">
        <f>IF(ISBLANK(Sacak[[#This Row],[En]]),"",VLOOKUP(Sacak[[#This Row],[En]],Fiyat[[Ölçü]:[Birim Fiyatı]],2,0))</f>
        <v/>
      </c>
      <c r="I93" s="42" t="str">
        <f>IF(ISBLANK(Sacak[[#This Row],[En]]),"",G93*H93)</f>
        <v/>
      </c>
      <c r="J93" s="43" t="str">
        <f>IF(ISBLANK(Sacak[[#This Row],[En]]),"",SUMIF(Sacak[Adı Soyadı],Sacak[[#This Row],[Adı Soyadı]],Sacak[TUTAR]))</f>
        <v/>
      </c>
    </row>
    <row r="94" spans="2:10" ht="15.6" thickTop="1" thickBot="1" x14ac:dyDescent="0.35">
      <c r="B94" s="15" t="str">
        <f>IF(ISBLANK(C94),"",SUBTOTAL(3, $C$3:C94))</f>
        <v/>
      </c>
      <c r="C94" s="31"/>
      <c r="D94" s="16"/>
      <c r="E94" s="17"/>
      <c r="F94" s="17"/>
      <c r="G94" s="17"/>
      <c r="H94" s="42" t="str">
        <f>IF(ISBLANK(Sacak[[#This Row],[En]]),"",VLOOKUP(Sacak[[#This Row],[En]],Fiyat[[Ölçü]:[Birim Fiyatı]],2,0))</f>
        <v/>
      </c>
      <c r="I94" s="42" t="str">
        <f>IF(ISBLANK(Sacak[[#This Row],[En]]),"",G94*H94)</f>
        <v/>
      </c>
      <c r="J94" s="43" t="str">
        <f>IF(ISBLANK(Sacak[[#This Row],[En]]),"",SUMIF(Sacak[Adı Soyadı],Sacak[[#This Row],[Adı Soyadı]],Sacak[TUTAR]))</f>
        <v/>
      </c>
    </row>
    <row r="95" spans="2:10" ht="15.6" thickTop="1" thickBot="1" x14ac:dyDescent="0.35">
      <c r="B95" s="15" t="str">
        <f>IF(ISBLANK(C95),"",SUBTOTAL(3, $C$3:C95))</f>
        <v/>
      </c>
      <c r="C95" s="31"/>
      <c r="D95" s="16"/>
      <c r="E95" s="17"/>
      <c r="F95" s="17"/>
      <c r="G95" s="17"/>
      <c r="H95" s="42" t="str">
        <f>IF(ISBLANK(Sacak[[#This Row],[En]]),"",VLOOKUP(Sacak[[#This Row],[En]],Fiyat[[Ölçü]:[Birim Fiyatı]],2,0))</f>
        <v/>
      </c>
      <c r="I95" s="42" t="str">
        <f>IF(ISBLANK(Sacak[[#This Row],[En]]),"",G95*H95)</f>
        <v/>
      </c>
      <c r="J95" s="43" t="str">
        <f>IF(ISBLANK(Sacak[[#This Row],[En]]),"",SUMIF(Sacak[Adı Soyadı],Sacak[[#This Row],[Adı Soyadı]],Sacak[TUTAR]))</f>
        <v/>
      </c>
    </row>
    <row r="96" spans="2:10" ht="15.6" thickTop="1" thickBot="1" x14ac:dyDescent="0.35">
      <c r="B96" s="15" t="str">
        <f>IF(ISBLANK(C96),"",SUBTOTAL(3, $C$3:C96))</f>
        <v/>
      </c>
      <c r="C96" s="31"/>
      <c r="D96" s="16"/>
      <c r="E96" s="17"/>
      <c r="F96" s="17"/>
      <c r="G96" s="17"/>
      <c r="H96" s="42" t="str">
        <f>IF(ISBLANK(Sacak[[#This Row],[En]]),"",VLOOKUP(Sacak[[#This Row],[En]],Fiyat[[Ölçü]:[Birim Fiyatı]],2,0))</f>
        <v/>
      </c>
      <c r="I96" s="42" t="str">
        <f>IF(ISBLANK(Sacak[[#This Row],[En]]),"",G96*H96)</f>
        <v/>
      </c>
      <c r="J96" s="43" t="str">
        <f>IF(ISBLANK(Sacak[[#This Row],[En]]),"",SUMIF(Sacak[Adı Soyadı],Sacak[[#This Row],[Adı Soyadı]],Sacak[TUTAR]))</f>
        <v/>
      </c>
    </row>
    <row r="97" spans="2:10" ht="15.6" thickTop="1" thickBot="1" x14ac:dyDescent="0.35">
      <c r="B97" s="15" t="str">
        <f>IF(ISBLANK(C97),"",SUBTOTAL(3, $C$3:C97))</f>
        <v/>
      </c>
      <c r="C97" s="31"/>
      <c r="D97" s="16"/>
      <c r="E97" s="17"/>
      <c r="F97" s="17"/>
      <c r="G97" s="17"/>
      <c r="H97" s="42" t="str">
        <f>IF(ISBLANK(Sacak[[#This Row],[En]]),"",VLOOKUP(Sacak[[#This Row],[En]],Fiyat[[Ölçü]:[Birim Fiyatı]],2,0))</f>
        <v/>
      </c>
      <c r="I97" s="42" t="str">
        <f>IF(ISBLANK(Sacak[[#This Row],[En]]),"",G97*H97)</f>
        <v/>
      </c>
      <c r="J97" s="43" t="str">
        <f>IF(ISBLANK(Sacak[[#This Row],[En]]),"",SUMIF(Sacak[Adı Soyadı],Sacak[[#This Row],[Adı Soyadı]],Sacak[TUTAR]))</f>
        <v/>
      </c>
    </row>
    <row r="98" spans="2:10" ht="15.6" thickTop="1" thickBot="1" x14ac:dyDescent="0.35">
      <c r="B98" s="15" t="str">
        <f>IF(ISBLANK(C98),"",SUBTOTAL(3, $C$3:C98))</f>
        <v/>
      </c>
      <c r="C98" s="31"/>
      <c r="D98" s="16"/>
      <c r="E98" s="17"/>
      <c r="F98" s="17"/>
      <c r="G98" s="17"/>
      <c r="H98" s="42" t="str">
        <f>IF(ISBLANK(Sacak[[#This Row],[En]]),"",VLOOKUP(Sacak[[#This Row],[En]],Fiyat[[Ölçü]:[Birim Fiyatı]],2,0))</f>
        <v/>
      </c>
      <c r="I98" s="42" t="str">
        <f>IF(ISBLANK(Sacak[[#This Row],[En]]),"",G98*H98)</f>
        <v/>
      </c>
      <c r="J98" s="43" t="str">
        <f>IF(ISBLANK(Sacak[[#This Row],[En]]),"",SUMIF(Sacak[Adı Soyadı],Sacak[[#This Row],[Adı Soyadı]],Sacak[TUTAR]))</f>
        <v/>
      </c>
    </row>
    <row r="99" spans="2:10" ht="15.6" thickTop="1" thickBot="1" x14ac:dyDescent="0.35">
      <c r="B99" s="15" t="str">
        <f>IF(ISBLANK(C99),"",SUBTOTAL(3, $C$3:C99))</f>
        <v/>
      </c>
      <c r="C99" s="31"/>
      <c r="D99" s="16"/>
      <c r="E99" s="17"/>
      <c r="F99" s="17"/>
      <c r="G99" s="17"/>
      <c r="H99" s="42" t="str">
        <f>IF(ISBLANK(Sacak[[#This Row],[En]]),"",VLOOKUP(Sacak[[#This Row],[En]],Fiyat[[Ölçü]:[Birim Fiyatı]],2,0))</f>
        <v/>
      </c>
      <c r="I99" s="42" t="str">
        <f>IF(ISBLANK(Sacak[[#This Row],[En]]),"",G99*H99)</f>
        <v/>
      </c>
      <c r="J99" s="43" t="str">
        <f>IF(ISBLANK(Sacak[[#This Row],[En]]),"",SUMIF(Sacak[Adı Soyadı],Sacak[[#This Row],[Adı Soyadı]],Sacak[TUTAR]))</f>
        <v/>
      </c>
    </row>
    <row r="100" spans="2:10" ht="15.6" thickTop="1" thickBot="1" x14ac:dyDescent="0.35">
      <c r="B100" s="15" t="str">
        <f>IF(ISBLANK(C100),"",SUBTOTAL(3, $C$3:C100))</f>
        <v/>
      </c>
      <c r="C100" s="31"/>
      <c r="D100" s="16"/>
      <c r="E100" s="17"/>
      <c r="F100" s="17"/>
      <c r="G100" s="17"/>
      <c r="H100" s="42" t="str">
        <f>IF(ISBLANK(Sacak[[#This Row],[En]]),"",VLOOKUP(Sacak[[#This Row],[En]],Fiyat[[Ölçü]:[Birim Fiyatı]],2,0))</f>
        <v/>
      </c>
      <c r="I100" s="42" t="str">
        <f>IF(ISBLANK(Sacak[[#This Row],[En]]),"",G100*H100)</f>
        <v/>
      </c>
      <c r="J100" s="43" t="str">
        <f>IF(ISBLANK(Sacak[[#This Row],[En]]),"",SUMIF(Sacak[Adı Soyadı],Sacak[[#This Row],[Adı Soyadı]],Sacak[TUTAR]))</f>
        <v/>
      </c>
    </row>
    <row r="101" spans="2:10" ht="15.6" thickTop="1" thickBot="1" x14ac:dyDescent="0.35">
      <c r="B101" s="15" t="str">
        <f>IF(ISBLANK(C101),"",SUBTOTAL(3, $C$3:C101))</f>
        <v/>
      </c>
      <c r="C101" s="31"/>
      <c r="D101" s="16"/>
      <c r="E101" s="17"/>
      <c r="F101" s="17"/>
      <c r="G101" s="17"/>
      <c r="H101" s="42" t="str">
        <f>IF(ISBLANK(Sacak[[#This Row],[En]]),"",VLOOKUP(Sacak[[#This Row],[En]],Fiyat[[Ölçü]:[Birim Fiyatı]],2,0))</f>
        <v/>
      </c>
      <c r="I101" s="42" t="str">
        <f>IF(ISBLANK(Sacak[[#This Row],[En]]),"",G101*H101)</f>
        <v/>
      </c>
      <c r="J101" s="43" t="str">
        <f>IF(ISBLANK(Sacak[[#This Row],[En]]),"",SUMIF(Sacak[Adı Soyadı],Sacak[[#This Row],[Adı Soyadı]],Sacak[TUTAR]))</f>
        <v/>
      </c>
    </row>
    <row r="102" spans="2:10" ht="15.6" thickTop="1" thickBot="1" x14ac:dyDescent="0.35">
      <c r="B102" s="15" t="str">
        <f>IF(ISBLANK(C102),"",SUBTOTAL(3, $C$3:C102))</f>
        <v/>
      </c>
      <c r="C102" s="31"/>
      <c r="D102" s="16"/>
      <c r="E102" s="17"/>
      <c r="F102" s="17"/>
      <c r="G102" s="17"/>
      <c r="H102" s="42" t="str">
        <f>IF(ISBLANK(Sacak[[#This Row],[En]]),"",VLOOKUP(Sacak[[#This Row],[En]],Fiyat[[Ölçü]:[Birim Fiyatı]],2,0))</f>
        <v/>
      </c>
      <c r="I102" s="42" t="str">
        <f>IF(ISBLANK(Sacak[[#This Row],[En]]),"",G102*H102)</f>
        <v/>
      </c>
      <c r="J102" s="43" t="str">
        <f>IF(ISBLANK(Sacak[[#This Row],[En]]),"",SUMIF(Sacak[Adı Soyadı],Sacak[[#This Row],[Adı Soyadı]],Sacak[TUTAR]))</f>
        <v/>
      </c>
    </row>
    <row r="103" spans="2:10" ht="15.6" thickTop="1" thickBot="1" x14ac:dyDescent="0.35">
      <c r="B103" s="15" t="str">
        <f>IF(ISBLANK(C103),"",SUBTOTAL(3, $C$3:C103))</f>
        <v/>
      </c>
      <c r="C103" s="31"/>
      <c r="D103" s="16"/>
      <c r="E103" s="17"/>
      <c r="F103" s="17"/>
      <c r="G103" s="17"/>
      <c r="H103" s="42" t="str">
        <f>IF(ISBLANK(Sacak[[#This Row],[En]]),"",VLOOKUP(Sacak[[#This Row],[En]],Fiyat[[Ölçü]:[Birim Fiyatı]],2,0))</f>
        <v/>
      </c>
      <c r="I103" s="42" t="str">
        <f>IF(ISBLANK(Sacak[[#This Row],[En]]),"",G103*H103)</f>
        <v/>
      </c>
      <c r="J103" s="43" t="str">
        <f>IF(ISBLANK(Sacak[[#This Row],[En]]),"",SUMIF(Sacak[Adı Soyadı],Sacak[[#This Row],[Adı Soyadı]],Sacak[TUTAR]))</f>
        <v/>
      </c>
    </row>
    <row r="104" spans="2:10" ht="15.6" thickTop="1" thickBot="1" x14ac:dyDescent="0.35">
      <c r="B104" s="15" t="str">
        <f>IF(ISBLANK(C104),"",SUBTOTAL(3, $C$3:C104))</f>
        <v/>
      </c>
      <c r="C104" s="31"/>
      <c r="D104" s="16"/>
      <c r="E104" s="17"/>
      <c r="F104" s="17"/>
      <c r="G104" s="17"/>
      <c r="H104" s="42" t="str">
        <f>IF(ISBLANK(Sacak[[#This Row],[En]]),"",VLOOKUP(Sacak[[#This Row],[En]],Fiyat[[Ölçü]:[Birim Fiyatı]],2,0))</f>
        <v/>
      </c>
      <c r="I104" s="42" t="str">
        <f>IF(ISBLANK(Sacak[[#This Row],[En]]),"",G104*H104)</f>
        <v/>
      </c>
      <c r="J104" s="43" t="str">
        <f>IF(ISBLANK(Sacak[[#This Row],[En]]),"",SUMIF(Sacak[Adı Soyadı],Sacak[[#This Row],[Adı Soyadı]],Sacak[TUTAR]))</f>
        <v/>
      </c>
    </row>
    <row r="105" spans="2:10" ht="15.6" thickTop="1" thickBot="1" x14ac:dyDescent="0.35">
      <c r="B105" s="15" t="str">
        <f>IF(ISBLANK(C105),"",SUBTOTAL(3, $C$3:C105))</f>
        <v/>
      </c>
      <c r="C105" s="31"/>
      <c r="D105" s="16"/>
      <c r="E105" s="17"/>
      <c r="F105" s="17"/>
      <c r="G105" s="17"/>
      <c r="H105" s="42" t="str">
        <f>IF(ISBLANK(Sacak[[#This Row],[En]]),"",VLOOKUP(Sacak[[#This Row],[En]],Fiyat[[Ölçü]:[Birim Fiyatı]],2,0))</f>
        <v/>
      </c>
      <c r="I105" s="42" t="str">
        <f>IF(ISBLANK(Sacak[[#This Row],[En]]),"",G105*H105)</f>
        <v/>
      </c>
      <c r="J105" s="43" t="str">
        <f>IF(ISBLANK(Sacak[[#This Row],[En]]),"",SUMIF(Sacak[Adı Soyadı],Sacak[[#This Row],[Adı Soyadı]],Sacak[TUTAR]))</f>
        <v/>
      </c>
    </row>
    <row r="106" spans="2:10" ht="15.6" thickTop="1" thickBot="1" x14ac:dyDescent="0.35">
      <c r="B106" s="15" t="str">
        <f>IF(ISBLANK(C106),"",SUBTOTAL(3, $C$3:C106))</f>
        <v/>
      </c>
      <c r="C106" s="31"/>
      <c r="D106" s="16"/>
      <c r="E106" s="17"/>
      <c r="F106" s="17"/>
      <c r="G106" s="17"/>
      <c r="H106" s="42" t="str">
        <f>IF(ISBLANK(Sacak[[#This Row],[En]]),"",VLOOKUP(Sacak[[#This Row],[En]],Fiyat[[Ölçü]:[Birim Fiyatı]],2,0))</f>
        <v/>
      </c>
      <c r="I106" s="42" t="str">
        <f>IF(ISBLANK(Sacak[[#This Row],[En]]),"",G106*H106)</f>
        <v/>
      </c>
      <c r="J106" s="43" t="str">
        <f>IF(ISBLANK(Sacak[[#This Row],[En]]),"",SUMIF(Sacak[Adı Soyadı],Sacak[[#This Row],[Adı Soyadı]],Sacak[TUTAR]))</f>
        <v/>
      </c>
    </row>
    <row r="107" spans="2:10" ht="15.6" thickTop="1" thickBot="1" x14ac:dyDescent="0.35">
      <c r="B107" s="15" t="str">
        <f>IF(ISBLANK(C107),"",SUBTOTAL(3, $C$3:C107))</f>
        <v/>
      </c>
      <c r="C107" s="31"/>
      <c r="D107" s="16"/>
      <c r="E107" s="17"/>
      <c r="F107" s="17"/>
      <c r="G107" s="17"/>
      <c r="H107" s="42" t="str">
        <f>IF(ISBLANK(Sacak[[#This Row],[En]]),"",VLOOKUP(Sacak[[#This Row],[En]],Fiyat[[Ölçü]:[Birim Fiyatı]],2,0))</f>
        <v/>
      </c>
      <c r="I107" s="42" t="str">
        <f>IF(ISBLANK(Sacak[[#This Row],[En]]),"",G107*H107)</f>
        <v/>
      </c>
      <c r="J107" s="43" t="str">
        <f>IF(ISBLANK(Sacak[[#This Row],[En]]),"",SUMIF(Sacak[Adı Soyadı],Sacak[[#This Row],[Adı Soyadı]],Sacak[TUTAR]))</f>
        <v/>
      </c>
    </row>
    <row r="108" spans="2:10" ht="15.6" thickTop="1" thickBot="1" x14ac:dyDescent="0.35">
      <c r="B108" s="15" t="str">
        <f>IF(ISBLANK(C108),"",SUBTOTAL(3, $C$3:C108))</f>
        <v/>
      </c>
      <c r="C108" s="31"/>
      <c r="D108" s="16"/>
      <c r="E108" s="17"/>
      <c r="F108" s="17"/>
      <c r="G108" s="17"/>
      <c r="H108" s="42" t="str">
        <f>IF(ISBLANK(Sacak[[#This Row],[En]]),"",VLOOKUP(Sacak[[#This Row],[En]],Fiyat[[Ölçü]:[Birim Fiyatı]],2,0))</f>
        <v/>
      </c>
      <c r="I108" s="42" t="str">
        <f>IF(ISBLANK(Sacak[[#This Row],[En]]),"",G108*H108)</f>
        <v/>
      </c>
      <c r="J108" s="43" t="str">
        <f>IF(ISBLANK(Sacak[[#This Row],[En]]),"",SUMIF(Sacak[Adı Soyadı],Sacak[[#This Row],[Adı Soyadı]],Sacak[TUTAR]))</f>
        <v/>
      </c>
    </row>
    <row r="109" spans="2:10" ht="15.6" thickTop="1" thickBot="1" x14ac:dyDescent="0.35">
      <c r="B109" s="15" t="str">
        <f>IF(ISBLANK(C109),"",SUBTOTAL(3, $C$3:C109))</f>
        <v/>
      </c>
      <c r="C109" s="31"/>
      <c r="D109" s="16"/>
      <c r="E109" s="17"/>
      <c r="F109" s="17"/>
      <c r="G109" s="17"/>
      <c r="H109" s="42" t="str">
        <f>IF(ISBLANK(Sacak[[#This Row],[En]]),"",VLOOKUP(Sacak[[#This Row],[En]],Fiyat[[Ölçü]:[Birim Fiyatı]],2,0))</f>
        <v/>
      </c>
      <c r="I109" s="42" t="str">
        <f>IF(ISBLANK(Sacak[[#This Row],[En]]),"",G109*H109)</f>
        <v/>
      </c>
      <c r="J109" s="43" t="str">
        <f>IF(ISBLANK(Sacak[[#This Row],[En]]),"",SUMIF(Sacak[Adı Soyadı],Sacak[[#This Row],[Adı Soyadı]],Sacak[TUTAR]))</f>
        <v/>
      </c>
    </row>
    <row r="110" spans="2:10" ht="15.6" thickTop="1" thickBot="1" x14ac:dyDescent="0.35">
      <c r="B110" s="15" t="str">
        <f>IF(ISBLANK(C110),"",SUBTOTAL(3, $C$3:C110))</f>
        <v/>
      </c>
      <c r="C110" s="31"/>
      <c r="D110" s="16"/>
      <c r="E110" s="17"/>
      <c r="F110" s="17"/>
      <c r="G110" s="17"/>
      <c r="H110" s="42" t="str">
        <f>IF(ISBLANK(Sacak[[#This Row],[En]]),"",VLOOKUP(Sacak[[#This Row],[En]],Fiyat[[Ölçü]:[Birim Fiyatı]],2,0))</f>
        <v/>
      </c>
      <c r="I110" s="42" t="str">
        <f>IF(ISBLANK(Sacak[[#This Row],[En]]),"",G110*H110)</f>
        <v/>
      </c>
      <c r="J110" s="43" t="str">
        <f>IF(ISBLANK(Sacak[[#This Row],[En]]),"",SUMIF(Sacak[Adı Soyadı],Sacak[[#This Row],[Adı Soyadı]],Sacak[TUTAR]))</f>
        <v/>
      </c>
    </row>
    <row r="111" spans="2:10" ht="15.6" thickTop="1" thickBot="1" x14ac:dyDescent="0.35">
      <c r="B111" s="15" t="str">
        <f>IF(ISBLANK(C111),"",SUBTOTAL(3, $C$3:C111))</f>
        <v/>
      </c>
      <c r="C111" s="31"/>
      <c r="D111" s="16"/>
      <c r="E111" s="17"/>
      <c r="F111" s="17"/>
      <c r="G111" s="17"/>
      <c r="H111" s="42" t="str">
        <f>IF(ISBLANK(Sacak[[#This Row],[En]]),"",VLOOKUP(Sacak[[#This Row],[En]],Fiyat[[Ölçü]:[Birim Fiyatı]],2,0))</f>
        <v/>
      </c>
      <c r="I111" s="42" t="str">
        <f>IF(ISBLANK(Sacak[[#This Row],[En]]),"",G111*H111)</f>
        <v/>
      </c>
      <c r="J111" s="43" t="str">
        <f>IF(ISBLANK(Sacak[[#This Row],[En]]),"",SUMIF(Sacak[Adı Soyadı],Sacak[[#This Row],[Adı Soyadı]],Sacak[TUTAR]))</f>
        <v/>
      </c>
    </row>
    <row r="112" spans="2:10" ht="15.6" thickTop="1" thickBot="1" x14ac:dyDescent="0.35">
      <c r="B112" s="15" t="s">
        <v>40</v>
      </c>
      <c r="C112" s="16"/>
      <c r="D112" s="16"/>
      <c r="E112" s="17"/>
      <c r="F112" s="62"/>
      <c r="G112" s="17">
        <f>SUBTOTAL(109,Sacak[ADET])</f>
        <v>0</v>
      </c>
      <c r="H112" s="42"/>
      <c r="I112" s="42">
        <f>SUBTOTAL(109,Sacak[TUTAR])</f>
        <v>0</v>
      </c>
      <c r="J112" s="48"/>
    </row>
    <row r="113" ht="15" thickTop="1" x14ac:dyDescent="0.3"/>
  </sheetData>
  <conditionalFormatting sqref="C3:C111">
    <cfRule type="colorScale" priority="12">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0000000}">
          <x14:formula1>
            <xm:f>Personel!$B$2:$B$59</xm:f>
          </x14:formula1>
          <xm:sqref>C3:C111</xm:sqref>
        </x14:dataValidation>
        <x14:dataValidation type="list" allowBlank="1" showInputMessage="1" showErrorMessage="1" xr:uid="{00000000-0002-0000-0400-000001000000}">
          <x14:formula1>
            <xm:f>'Cins'!$B$2:$B$14</xm:f>
          </x14:formula1>
          <xm:sqref>D3:D111</xm:sqref>
        </x14:dataValidation>
        <x14:dataValidation type="list" allowBlank="1" showInputMessage="1" showErrorMessage="1" xr:uid="{00000000-0002-0000-0400-000002000000}">
          <x14:formula1>
            <xm:f>Fiyat!$B$2:$B$35</xm:f>
          </x14:formula1>
          <xm:sqref>E3:F111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ayfa3">
    <tabColor theme="9" tint="-0.499984740745262"/>
  </sheetPr>
  <dimension ref="B1:K118"/>
  <sheetViews>
    <sheetView zoomScaleNormal="100" workbookViewId="0">
      <pane ySplit="2" topLeftCell="A3" activePane="bottomLeft" state="frozen"/>
      <selection activeCell="F31" sqref="F31"/>
      <selection pane="bottomLeft" activeCell="I3" sqref="I3:I116"/>
    </sheetView>
  </sheetViews>
  <sheetFormatPr defaultRowHeight="14.4" x14ac:dyDescent="0.3"/>
  <cols>
    <col min="1" max="1" width="2.6640625" customWidth="1"/>
    <col min="2" max="2" width="6" style="3" bestFit="1" customWidth="1"/>
    <col min="3" max="3" width="21.5546875" style="49" customWidth="1"/>
    <col min="4" max="4" width="10.33203125" style="49" bestFit="1" customWidth="1"/>
    <col min="5" max="5" width="7.5546875" style="49" bestFit="1" customWidth="1"/>
    <col min="6" max="6" width="7.5546875" style="49" customWidth="1"/>
    <col min="7" max="7" width="8" style="49" bestFit="1" customWidth="1"/>
    <col min="8" max="8" width="8" style="3" customWidth="1"/>
    <col min="9" max="10" width="12" style="3" customWidth="1"/>
    <col min="11" max="11" width="12" customWidth="1"/>
    <col min="12" max="12" width="7.33203125" customWidth="1"/>
  </cols>
  <sheetData>
    <row r="1" spans="2:11" ht="69" customHeight="1" thickBot="1" x14ac:dyDescent="0.35"/>
    <row r="2" spans="2:11" ht="25.95" customHeight="1" thickTop="1" thickBot="1" x14ac:dyDescent="0.35">
      <c r="B2" s="18" t="s">
        <v>18</v>
      </c>
      <c r="C2" s="51" t="s">
        <v>17</v>
      </c>
      <c r="D2" s="51" t="s">
        <v>51</v>
      </c>
      <c r="E2" s="51" t="s">
        <v>57</v>
      </c>
      <c r="F2" s="51" t="s">
        <v>58</v>
      </c>
      <c r="G2" s="52" t="s">
        <v>0</v>
      </c>
      <c r="H2" s="20" t="s">
        <v>50</v>
      </c>
      <c r="I2" s="19" t="s">
        <v>1</v>
      </c>
      <c r="J2" s="19" t="s">
        <v>2</v>
      </c>
      <c r="K2" s="14" t="s">
        <v>43</v>
      </c>
    </row>
    <row r="3" spans="2:11" ht="15.6" thickTop="1" thickBot="1" x14ac:dyDescent="0.35">
      <c r="B3" s="21" t="str">
        <f>IF(ISBLANK(C3),"",SUBTOTAL(3, $C$3:C3))</f>
        <v/>
      </c>
      <c r="C3" s="35"/>
      <c r="D3" s="22"/>
      <c r="E3" s="23"/>
      <c r="F3" s="23"/>
      <c r="G3" s="23"/>
      <c r="H3" s="26" t="str">
        <f>IF(ISBLANK(Etiket[[#This Row],[En]]),"",Etiket[[#This Row],[ADET]]*Etiket[[#This Row],[En]]*2/100)</f>
        <v/>
      </c>
      <c r="I3" s="24" t="str">
        <f>IF(ISBLANK(Etiket[[#This Row],[En]]),"",İşçilikler!$C$3)</f>
        <v/>
      </c>
      <c r="J3" s="24" t="str">
        <f>IF(ISBLANK(Etiket[[#This Row],[En]]),"",H3*I3)</f>
        <v/>
      </c>
      <c r="K3" s="25" t="str">
        <f>IF(ISBLANK(Etiket[[#This Row],[En]]),"",SUMIF(Etiket[Adı Soyadı],Etiket[[#This Row],[Adı Soyadı]],Etiket[TUTAR]))</f>
        <v/>
      </c>
    </row>
    <row r="4" spans="2:11" ht="15.6" thickTop="1" thickBot="1" x14ac:dyDescent="0.35">
      <c r="B4" s="21" t="str">
        <f>IF(ISBLANK(C4),"",SUBTOTAL(3, $C$3:C4))</f>
        <v/>
      </c>
      <c r="C4" s="35"/>
      <c r="D4" s="22"/>
      <c r="E4" s="23"/>
      <c r="F4" s="23"/>
      <c r="G4" s="23"/>
      <c r="H4" s="26" t="str">
        <f>IF(ISBLANK(Etiket[[#This Row],[En]]),"",Etiket[[#This Row],[ADET]]*Etiket[[#This Row],[En]]*2/100)</f>
        <v/>
      </c>
      <c r="I4" s="24" t="str">
        <f>IF(ISBLANK(Etiket[[#This Row],[En]]),"",İşçilikler!$C$3)</f>
        <v/>
      </c>
      <c r="J4" s="24" t="str">
        <f>IF(ISBLANK(Etiket[[#This Row],[En]]),"",H4*I4)</f>
        <v/>
      </c>
      <c r="K4" s="25" t="str">
        <f>IF(ISBLANK(Etiket[[#This Row],[En]]),"",SUMIF(Etiket[Adı Soyadı],Etiket[[#This Row],[Adı Soyadı]],Etiket[TUTAR]))</f>
        <v/>
      </c>
    </row>
    <row r="5" spans="2:11" ht="15.6" thickTop="1" thickBot="1" x14ac:dyDescent="0.35">
      <c r="B5" s="21" t="str">
        <f>IF(ISBLANK(C5),"",SUBTOTAL(3, $C$3:C5))</f>
        <v/>
      </c>
      <c r="C5" s="35"/>
      <c r="D5" s="22"/>
      <c r="E5" s="23"/>
      <c r="F5" s="23"/>
      <c r="G5" s="23"/>
      <c r="H5" s="26" t="str">
        <f>IF(ISBLANK(Etiket[[#This Row],[En]]),"",Etiket[[#This Row],[ADET]]*Etiket[[#This Row],[En]]*2/100)</f>
        <v/>
      </c>
      <c r="I5" s="24" t="str">
        <f>IF(ISBLANK(Etiket[[#This Row],[En]]),"",İşçilikler!$C$3)</f>
        <v/>
      </c>
      <c r="J5" s="24" t="str">
        <f>IF(ISBLANK(Etiket[[#This Row],[En]]),"",H5*I5)</f>
        <v/>
      </c>
      <c r="K5" s="25" t="str">
        <f>IF(ISBLANK(Etiket[[#This Row],[En]]),"",SUMIF(Etiket[Adı Soyadı],Etiket[[#This Row],[Adı Soyadı]],Etiket[TUTAR]))</f>
        <v/>
      </c>
    </row>
    <row r="6" spans="2:11" ht="15.6" thickTop="1" thickBot="1" x14ac:dyDescent="0.35">
      <c r="B6" s="21" t="str">
        <f>IF(ISBLANK(C6),"",SUBTOTAL(3, $C$3:C6))</f>
        <v/>
      </c>
      <c r="C6" s="35"/>
      <c r="D6" s="22"/>
      <c r="E6" s="23"/>
      <c r="F6" s="23"/>
      <c r="G6" s="23"/>
      <c r="H6" s="26" t="str">
        <f>IF(ISBLANK(Etiket[[#This Row],[En]]),"",Etiket[[#This Row],[ADET]]*Etiket[[#This Row],[En]]*2/100)</f>
        <v/>
      </c>
      <c r="I6" s="24" t="str">
        <f>IF(ISBLANK(Etiket[[#This Row],[En]]),"",İşçilikler!$C$3)</f>
        <v/>
      </c>
      <c r="J6" s="24" t="str">
        <f>IF(ISBLANK(Etiket[[#This Row],[En]]),"",H6*I6)</f>
        <v/>
      </c>
      <c r="K6" s="25" t="str">
        <f>IF(ISBLANK(Etiket[[#This Row],[En]]),"",SUMIF(Etiket[Adı Soyadı],Etiket[[#This Row],[Adı Soyadı]],Etiket[TUTAR]))</f>
        <v/>
      </c>
    </row>
    <row r="7" spans="2:11" ht="15.6" thickTop="1" thickBot="1" x14ac:dyDescent="0.35">
      <c r="B7" s="21" t="str">
        <f>IF(ISBLANK(C7),"",SUBTOTAL(3, $C$3:C7))</f>
        <v/>
      </c>
      <c r="C7" s="35"/>
      <c r="D7" s="22"/>
      <c r="E7" s="23"/>
      <c r="F7" s="23"/>
      <c r="G7" s="23"/>
      <c r="H7" s="26" t="str">
        <f>IF(ISBLANK(Etiket[[#This Row],[En]]),"",Etiket[[#This Row],[ADET]]*Etiket[[#This Row],[En]]*2/100)</f>
        <v/>
      </c>
      <c r="I7" s="24" t="str">
        <f>IF(ISBLANK(Etiket[[#This Row],[En]]),"",İşçilikler!$C$3)</f>
        <v/>
      </c>
      <c r="J7" s="24" t="str">
        <f>IF(ISBLANK(Etiket[[#This Row],[En]]),"",H7*I7)</f>
        <v/>
      </c>
      <c r="K7" s="25" t="str">
        <f>IF(ISBLANK(Etiket[[#This Row],[En]]),"",SUMIF(Etiket[Adı Soyadı],Etiket[[#This Row],[Adı Soyadı]],Etiket[TUTAR]))</f>
        <v/>
      </c>
    </row>
    <row r="8" spans="2:11" ht="15.6" thickTop="1" thickBot="1" x14ac:dyDescent="0.35">
      <c r="B8" s="21" t="str">
        <f>IF(ISBLANK(C8),"",SUBTOTAL(3, $C$3:C8))</f>
        <v/>
      </c>
      <c r="C8" s="35"/>
      <c r="D8" s="22"/>
      <c r="E8" s="23"/>
      <c r="F8" s="23"/>
      <c r="G8" s="23"/>
      <c r="H8" s="26" t="str">
        <f>IF(ISBLANK(Etiket[[#This Row],[En]]),"",Etiket[[#This Row],[ADET]]*Etiket[[#This Row],[En]]*2/100)</f>
        <v/>
      </c>
      <c r="I8" s="24" t="str">
        <f>IF(ISBLANK(Etiket[[#This Row],[En]]),"",İşçilikler!$C$3)</f>
        <v/>
      </c>
      <c r="J8" s="24" t="str">
        <f>IF(ISBLANK(Etiket[[#This Row],[En]]),"",H8*I8)</f>
        <v/>
      </c>
      <c r="K8" s="25" t="str">
        <f>IF(ISBLANK(Etiket[[#This Row],[En]]),"",SUMIF(Etiket[Adı Soyadı],Etiket[[#This Row],[Adı Soyadı]],Etiket[TUTAR]))</f>
        <v/>
      </c>
    </row>
    <row r="9" spans="2:11" ht="15.6" thickTop="1" thickBot="1" x14ac:dyDescent="0.35">
      <c r="B9" s="21" t="str">
        <f>IF(ISBLANK(C9),"",SUBTOTAL(3, $C$3:C9))</f>
        <v/>
      </c>
      <c r="C9" s="35"/>
      <c r="D9" s="22"/>
      <c r="E9" s="23"/>
      <c r="F9" s="23"/>
      <c r="G9" s="23"/>
      <c r="H9" s="26" t="str">
        <f>IF(ISBLANK(Etiket[[#This Row],[En]]),"",Etiket[[#This Row],[ADET]]*Etiket[[#This Row],[En]]*2/100)</f>
        <v/>
      </c>
      <c r="I9" s="24" t="str">
        <f>IF(ISBLANK(Etiket[[#This Row],[En]]),"",İşçilikler!$C$3)</f>
        <v/>
      </c>
      <c r="J9" s="24" t="str">
        <f>IF(ISBLANK(Etiket[[#This Row],[En]]),"",H9*I9)</f>
        <v/>
      </c>
      <c r="K9" s="25" t="str">
        <f>IF(ISBLANK(Etiket[[#This Row],[En]]),"",SUMIF(Etiket[Adı Soyadı],Etiket[[#This Row],[Adı Soyadı]],Etiket[TUTAR]))</f>
        <v/>
      </c>
    </row>
    <row r="10" spans="2:11" ht="15.6" thickTop="1" thickBot="1" x14ac:dyDescent="0.35">
      <c r="B10" s="21" t="str">
        <f>IF(ISBLANK(C10),"",SUBTOTAL(3, $C$3:C10))</f>
        <v/>
      </c>
      <c r="C10" s="35"/>
      <c r="D10" s="22"/>
      <c r="E10" s="23"/>
      <c r="F10" s="23"/>
      <c r="G10" s="23"/>
      <c r="H10" s="26" t="str">
        <f>IF(ISBLANK(Etiket[[#This Row],[En]]),"",Etiket[[#This Row],[ADET]]*Etiket[[#This Row],[En]]*2/100)</f>
        <v/>
      </c>
      <c r="I10" s="24" t="str">
        <f>IF(ISBLANK(Etiket[[#This Row],[En]]),"",İşçilikler!$C$3)</f>
        <v/>
      </c>
      <c r="J10" s="24" t="str">
        <f>IF(ISBLANK(Etiket[[#This Row],[En]]),"",H10*I10)</f>
        <v/>
      </c>
      <c r="K10" s="25" t="str">
        <f>IF(ISBLANK(Etiket[[#This Row],[En]]),"",SUMIF(Etiket[Adı Soyadı],Etiket[[#This Row],[Adı Soyadı]],Etiket[TUTAR]))</f>
        <v/>
      </c>
    </row>
    <row r="11" spans="2:11" ht="15.6" thickTop="1" thickBot="1" x14ac:dyDescent="0.35">
      <c r="B11" s="21" t="str">
        <f>IF(ISBLANK(C11),"",SUBTOTAL(3, $C$3:C11))</f>
        <v/>
      </c>
      <c r="C11" s="35"/>
      <c r="D11" s="22"/>
      <c r="E11" s="23"/>
      <c r="F11" s="23"/>
      <c r="G11" s="23"/>
      <c r="H11" s="26" t="str">
        <f>IF(ISBLANK(Etiket[[#This Row],[En]]),"",Etiket[[#This Row],[ADET]]*Etiket[[#This Row],[En]]*2/100)</f>
        <v/>
      </c>
      <c r="I11" s="24" t="str">
        <f>IF(ISBLANK(Etiket[[#This Row],[En]]),"",İşçilikler!$C$3)</f>
        <v/>
      </c>
      <c r="J11" s="24" t="str">
        <f>IF(ISBLANK(Etiket[[#This Row],[En]]),"",H11*I11)</f>
        <v/>
      </c>
      <c r="K11" s="25" t="str">
        <f>IF(ISBLANK(Etiket[[#This Row],[En]]),"",SUMIF(Etiket[Adı Soyadı],Etiket[[#This Row],[Adı Soyadı]],Etiket[TUTAR]))</f>
        <v/>
      </c>
    </row>
    <row r="12" spans="2:11" ht="15.6" thickTop="1" thickBot="1" x14ac:dyDescent="0.35">
      <c r="B12" s="21" t="str">
        <f>IF(ISBLANK(C12),"",SUBTOTAL(3, $C$3:C12))</f>
        <v/>
      </c>
      <c r="C12" s="35"/>
      <c r="D12" s="22"/>
      <c r="E12" s="23"/>
      <c r="F12" s="23"/>
      <c r="G12" s="23"/>
      <c r="H12" s="26" t="str">
        <f>IF(ISBLANK(Etiket[[#This Row],[En]]),"",Etiket[[#This Row],[ADET]]*Etiket[[#This Row],[En]]*2/100)</f>
        <v/>
      </c>
      <c r="I12" s="24" t="str">
        <f>IF(ISBLANK(Etiket[[#This Row],[En]]),"",İşçilikler!$C$3)</f>
        <v/>
      </c>
      <c r="J12" s="24" t="str">
        <f>IF(ISBLANK(Etiket[[#This Row],[En]]),"",H12*I12)</f>
        <v/>
      </c>
      <c r="K12" s="25" t="str">
        <f>IF(ISBLANK(Etiket[[#This Row],[En]]),"",SUMIF(Etiket[Adı Soyadı],Etiket[[#This Row],[Adı Soyadı]],Etiket[TUTAR]))</f>
        <v/>
      </c>
    </row>
    <row r="13" spans="2:11" ht="15.6" thickTop="1" thickBot="1" x14ac:dyDescent="0.35">
      <c r="B13" s="21" t="str">
        <f>IF(ISBLANK(C13),"",SUBTOTAL(3, $C$3:C13))</f>
        <v/>
      </c>
      <c r="C13" s="35"/>
      <c r="D13" s="22"/>
      <c r="E13" s="23"/>
      <c r="F13" s="23"/>
      <c r="G13" s="23"/>
      <c r="H13" s="26" t="str">
        <f>IF(ISBLANK(Etiket[[#This Row],[En]]),"",Etiket[[#This Row],[ADET]]*Etiket[[#This Row],[En]]*2/100)</f>
        <v/>
      </c>
      <c r="I13" s="24" t="str">
        <f>IF(ISBLANK(Etiket[[#This Row],[En]]),"",İşçilikler!$C$3)</f>
        <v/>
      </c>
      <c r="J13" s="24" t="str">
        <f>IF(ISBLANK(Etiket[[#This Row],[En]]),"",H13*I13)</f>
        <v/>
      </c>
      <c r="K13" s="25" t="str">
        <f>IF(ISBLANK(Etiket[[#This Row],[En]]),"",SUMIF(Etiket[Adı Soyadı],Etiket[[#This Row],[Adı Soyadı]],Etiket[TUTAR]))</f>
        <v/>
      </c>
    </row>
    <row r="14" spans="2:11" ht="15.6" thickTop="1" thickBot="1" x14ac:dyDescent="0.35">
      <c r="B14" s="21" t="str">
        <f>IF(ISBLANK(C14),"",SUBTOTAL(3, $C$3:C14))</f>
        <v/>
      </c>
      <c r="C14" s="35"/>
      <c r="D14" s="22"/>
      <c r="E14" s="23"/>
      <c r="F14" s="23"/>
      <c r="G14" s="23"/>
      <c r="H14" s="26" t="str">
        <f>IF(ISBLANK(Etiket[[#This Row],[En]]),"",Etiket[[#This Row],[ADET]]*Etiket[[#This Row],[En]]*2/100)</f>
        <v/>
      </c>
      <c r="I14" s="24" t="str">
        <f>IF(ISBLANK(Etiket[[#This Row],[En]]),"",İşçilikler!$C$3)</f>
        <v/>
      </c>
      <c r="J14" s="24" t="str">
        <f>IF(ISBLANK(Etiket[[#This Row],[En]]),"",H14*I14)</f>
        <v/>
      </c>
      <c r="K14" s="25" t="str">
        <f>IF(ISBLANK(Etiket[[#This Row],[En]]),"",SUMIF(Etiket[Adı Soyadı],Etiket[[#This Row],[Adı Soyadı]],Etiket[TUTAR]))</f>
        <v/>
      </c>
    </row>
    <row r="15" spans="2:11" ht="15.6" thickTop="1" thickBot="1" x14ac:dyDescent="0.35">
      <c r="B15" s="21" t="str">
        <f>IF(ISBLANK(C15),"",SUBTOTAL(3, $C$3:C15))</f>
        <v/>
      </c>
      <c r="C15" s="35"/>
      <c r="D15" s="22"/>
      <c r="E15" s="23"/>
      <c r="F15" s="23"/>
      <c r="G15" s="23"/>
      <c r="H15" s="26" t="str">
        <f>IF(ISBLANK(Etiket[[#This Row],[En]]),"",Etiket[[#This Row],[ADET]]*Etiket[[#This Row],[En]]*2/100)</f>
        <v/>
      </c>
      <c r="I15" s="24" t="str">
        <f>IF(ISBLANK(Etiket[[#This Row],[En]]),"",İşçilikler!$C$3)</f>
        <v/>
      </c>
      <c r="J15" s="24" t="str">
        <f>IF(ISBLANK(Etiket[[#This Row],[En]]),"",H15*I15)</f>
        <v/>
      </c>
      <c r="K15" s="25" t="str">
        <f>IF(ISBLANK(Etiket[[#This Row],[En]]),"",SUMIF(Etiket[Adı Soyadı],Etiket[[#This Row],[Adı Soyadı]],Etiket[TUTAR]))</f>
        <v/>
      </c>
    </row>
    <row r="16" spans="2:11" ht="15.6" thickTop="1" thickBot="1" x14ac:dyDescent="0.35">
      <c r="B16" s="21" t="str">
        <f>IF(ISBLANK(C16),"",SUBTOTAL(3, $C$3:C16))</f>
        <v/>
      </c>
      <c r="C16" s="35"/>
      <c r="D16" s="22"/>
      <c r="E16" s="23"/>
      <c r="F16" s="23"/>
      <c r="G16" s="23"/>
      <c r="H16" s="26" t="str">
        <f>IF(ISBLANK(Etiket[[#This Row],[En]]),"",Etiket[[#This Row],[ADET]]*Etiket[[#This Row],[En]]*2/100)</f>
        <v/>
      </c>
      <c r="I16" s="24" t="str">
        <f>IF(ISBLANK(Etiket[[#This Row],[En]]),"",İşçilikler!$C$3)</f>
        <v/>
      </c>
      <c r="J16" s="24" t="str">
        <f>IF(ISBLANK(Etiket[[#This Row],[En]]),"",H16*I16)</f>
        <v/>
      </c>
      <c r="K16" s="25" t="str">
        <f>IF(ISBLANK(Etiket[[#This Row],[En]]),"",SUMIF(Etiket[Adı Soyadı],Etiket[[#This Row],[Adı Soyadı]],Etiket[TUTAR]))</f>
        <v/>
      </c>
    </row>
    <row r="17" spans="2:11" ht="15.6" thickTop="1" thickBot="1" x14ac:dyDescent="0.35">
      <c r="B17" s="21" t="str">
        <f>IF(ISBLANK(C17),"",SUBTOTAL(3, $C$3:C17))</f>
        <v/>
      </c>
      <c r="C17" s="35"/>
      <c r="D17" s="22"/>
      <c r="E17" s="23"/>
      <c r="F17" s="23"/>
      <c r="G17" s="23"/>
      <c r="H17" s="26" t="str">
        <f>IF(ISBLANK(Etiket[[#This Row],[En]]),"",Etiket[[#This Row],[ADET]]*Etiket[[#This Row],[En]]*2/100)</f>
        <v/>
      </c>
      <c r="I17" s="24" t="str">
        <f>IF(ISBLANK(Etiket[[#This Row],[En]]),"",İşçilikler!$C$3)</f>
        <v/>
      </c>
      <c r="J17" s="24" t="str">
        <f>IF(ISBLANK(Etiket[[#This Row],[En]]),"",H17*I17)</f>
        <v/>
      </c>
      <c r="K17" s="25" t="str">
        <f>IF(ISBLANK(Etiket[[#This Row],[En]]),"",SUMIF(Etiket[Adı Soyadı],Etiket[[#This Row],[Adı Soyadı]],Etiket[TUTAR]))</f>
        <v/>
      </c>
    </row>
    <row r="18" spans="2:11" ht="15.6" thickTop="1" thickBot="1" x14ac:dyDescent="0.35">
      <c r="B18" s="21" t="str">
        <f>IF(ISBLANK(C18),"",SUBTOTAL(3, $C$3:C18))</f>
        <v/>
      </c>
      <c r="C18" s="35"/>
      <c r="D18" s="22"/>
      <c r="E18" s="23"/>
      <c r="F18" s="23"/>
      <c r="G18" s="23"/>
      <c r="H18" s="26" t="str">
        <f>IF(ISBLANK(Etiket[[#This Row],[En]]),"",Etiket[[#This Row],[ADET]]*Etiket[[#This Row],[En]]*2/100)</f>
        <v/>
      </c>
      <c r="I18" s="24" t="str">
        <f>IF(ISBLANK(Etiket[[#This Row],[En]]),"",İşçilikler!$C$3)</f>
        <v/>
      </c>
      <c r="J18" s="24" t="str">
        <f>IF(ISBLANK(Etiket[[#This Row],[En]]),"",H18*I18)</f>
        <v/>
      </c>
      <c r="K18" s="25" t="str">
        <f>IF(ISBLANK(Etiket[[#This Row],[En]]),"",SUMIF(Etiket[Adı Soyadı],Etiket[[#This Row],[Adı Soyadı]],Etiket[TUTAR]))</f>
        <v/>
      </c>
    </row>
    <row r="19" spans="2:11" ht="15.6" thickTop="1" thickBot="1" x14ac:dyDescent="0.35">
      <c r="B19" s="21" t="str">
        <f>IF(ISBLANK(C19),"",SUBTOTAL(3, $C$3:C19))</f>
        <v/>
      </c>
      <c r="C19" s="35"/>
      <c r="D19" s="22"/>
      <c r="E19" s="23"/>
      <c r="F19" s="23"/>
      <c r="G19" s="23"/>
      <c r="H19" s="26" t="str">
        <f>IF(ISBLANK(Etiket[[#This Row],[En]]),"",Etiket[[#This Row],[ADET]]*Etiket[[#This Row],[En]]*2/100)</f>
        <v/>
      </c>
      <c r="I19" s="24" t="str">
        <f>IF(ISBLANK(Etiket[[#This Row],[En]]),"",İşçilikler!$C$3)</f>
        <v/>
      </c>
      <c r="J19" s="24" t="str">
        <f>IF(ISBLANK(Etiket[[#This Row],[En]]),"",H19*I19)</f>
        <v/>
      </c>
      <c r="K19" s="25" t="str">
        <f>IF(ISBLANK(Etiket[[#This Row],[En]]),"",SUMIF(Etiket[Adı Soyadı],Etiket[[#This Row],[Adı Soyadı]],Etiket[TUTAR]))</f>
        <v/>
      </c>
    </row>
    <row r="20" spans="2:11" ht="15.6" thickTop="1" thickBot="1" x14ac:dyDescent="0.35">
      <c r="B20" s="21" t="str">
        <f>IF(ISBLANK(C20),"",SUBTOTAL(3, $C$3:C20))</f>
        <v/>
      </c>
      <c r="C20" s="35"/>
      <c r="D20" s="22"/>
      <c r="E20" s="23"/>
      <c r="F20" s="23"/>
      <c r="G20" s="23"/>
      <c r="H20" s="26" t="str">
        <f>IF(ISBLANK(Etiket[[#This Row],[En]]),"",Etiket[[#This Row],[ADET]]*Etiket[[#This Row],[En]]*2/100)</f>
        <v/>
      </c>
      <c r="I20" s="24" t="str">
        <f>IF(ISBLANK(Etiket[[#This Row],[En]]),"",İşçilikler!$C$3)</f>
        <v/>
      </c>
      <c r="J20" s="24" t="str">
        <f>IF(ISBLANK(Etiket[[#This Row],[En]]),"",H20*I20)</f>
        <v/>
      </c>
      <c r="K20" s="25" t="str">
        <f>IF(ISBLANK(Etiket[[#This Row],[En]]),"",SUMIF(Etiket[Adı Soyadı],Etiket[[#This Row],[Adı Soyadı]],Etiket[TUTAR]))</f>
        <v/>
      </c>
    </row>
    <row r="21" spans="2:11" ht="15.6" thickTop="1" thickBot="1" x14ac:dyDescent="0.35">
      <c r="B21" s="21" t="str">
        <f>IF(ISBLANK(C21),"",SUBTOTAL(3, $C$3:C21))</f>
        <v/>
      </c>
      <c r="C21" s="35"/>
      <c r="D21" s="22"/>
      <c r="E21" s="23"/>
      <c r="F21" s="23"/>
      <c r="G21" s="23"/>
      <c r="H21" s="26" t="str">
        <f>IF(ISBLANK(Etiket[[#This Row],[En]]),"",Etiket[[#This Row],[ADET]]*Etiket[[#This Row],[En]]*2/100)</f>
        <v/>
      </c>
      <c r="I21" s="24" t="str">
        <f>IF(ISBLANK(Etiket[[#This Row],[En]]),"",İşçilikler!$C$3)</f>
        <v/>
      </c>
      <c r="J21" s="24" t="str">
        <f>IF(ISBLANK(Etiket[[#This Row],[En]]),"",H21*I21)</f>
        <v/>
      </c>
      <c r="K21" s="25" t="str">
        <f>IF(ISBLANK(Etiket[[#This Row],[En]]),"",SUMIF(Etiket[Adı Soyadı],Etiket[[#This Row],[Adı Soyadı]],Etiket[TUTAR]))</f>
        <v/>
      </c>
    </row>
    <row r="22" spans="2:11" ht="15.6" thickTop="1" thickBot="1" x14ac:dyDescent="0.35">
      <c r="B22" s="21" t="str">
        <f>IF(ISBLANK(C22),"",SUBTOTAL(3, $C$3:C22))</f>
        <v/>
      </c>
      <c r="C22" s="35"/>
      <c r="D22" s="22"/>
      <c r="E22" s="23"/>
      <c r="F22" s="23"/>
      <c r="G22" s="23"/>
      <c r="H22" s="26" t="str">
        <f>IF(ISBLANK(Etiket[[#This Row],[En]]),"",Etiket[[#This Row],[ADET]]*Etiket[[#This Row],[En]]*2/100)</f>
        <v/>
      </c>
      <c r="I22" s="24" t="str">
        <f>IF(ISBLANK(Etiket[[#This Row],[En]]),"",İşçilikler!$C$3)</f>
        <v/>
      </c>
      <c r="J22" s="24" t="str">
        <f>IF(ISBLANK(Etiket[[#This Row],[En]]),"",H22*I22)</f>
        <v/>
      </c>
      <c r="K22" s="25" t="str">
        <f>IF(ISBLANK(Etiket[[#This Row],[En]]),"",SUMIF(Etiket[Adı Soyadı],Etiket[[#This Row],[Adı Soyadı]],Etiket[TUTAR]))</f>
        <v/>
      </c>
    </row>
    <row r="23" spans="2:11" ht="15.6" thickTop="1" thickBot="1" x14ac:dyDescent="0.35">
      <c r="B23" s="21" t="str">
        <f>IF(ISBLANK(C23),"",SUBTOTAL(3, $C$3:C23))</f>
        <v/>
      </c>
      <c r="C23" s="35"/>
      <c r="D23" s="22"/>
      <c r="E23" s="23"/>
      <c r="F23" s="23"/>
      <c r="G23" s="23"/>
      <c r="H23" s="26" t="str">
        <f>IF(ISBLANK(Etiket[[#This Row],[En]]),"",Etiket[[#This Row],[ADET]]*Etiket[[#This Row],[En]]*2/100)</f>
        <v/>
      </c>
      <c r="I23" s="24" t="str">
        <f>IF(ISBLANK(Etiket[[#This Row],[En]]),"",İşçilikler!$C$3)</f>
        <v/>
      </c>
      <c r="J23" s="24" t="str">
        <f>IF(ISBLANK(Etiket[[#This Row],[En]]),"",H23*I23)</f>
        <v/>
      </c>
      <c r="K23" s="25" t="str">
        <f>IF(ISBLANK(Etiket[[#This Row],[En]]),"",SUMIF(Etiket[Adı Soyadı],Etiket[[#This Row],[Adı Soyadı]],Etiket[TUTAR]))</f>
        <v/>
      </c>
    </row>
    <row r="24" spans="2:11" ht="15.6" thickTop="1" thickBot="1" x14ac:dyDescent="0.35">
      <c r="B24" s="21" t="str">
        <f>IF(ISBLANK(C24),"",SUBTOTAL(3, $C$3:C24))</f>
        <v/>
      </c>
      <c r="C24" s="35"/>
      <c r="D24" s="22"/>
      <c r="E24" s="23"/>
      <c r="F24" s="23"/>
      <c r="G24" s="23"/>
      <c r="H24" s="26" t="str">
        <f>IF(ISBLANK(Etiket[[#This Row],[En]]),"",Etiket[[#This Row],[ADET]]*Etiket[[#This Row],[En]]*2/100)</f>
        <v/>
      </c>
      <c r="I24" s="24" t="str">
        <f>IF(ISBLANK(Etiket[[#This Row],[En]]),"",İşçilikler!$C$3)</f>
        <v/>
      </c>
      <c r="J24" s="24" t="str">
        <f>IF(ISBLANK(Etiket[[#This Row],[En]]),"",H24*I24)</f>
        <v/>
      </c>
      <c r="K24" s="25" t="str">
        <f>IF(ISBLANK(Etiket[[#This Row],[En]]),"",SUMIF(Etiket[Adı Soyadı],Etiket[[#This Row],[Adı Soyadı]],Etiket[TUTAR]))</f>
        <v/>
      </c>
    </row>
    <row r="25" spans="2:11" ht="15.6" thickTop="1" thickBot="1" x14ac:dyDescent="0.35">
      <c r="B25" s="21" t="str">
        <f>IF(ISBLANK(C25),"",SUBTOTAL(3, $C$3:C25))</f>
        <v/>
      </c>
      <c r="C25" s="35"/>
      <c r="D25" s="22"/>
      <c r="E25" s="23"/>
      <c r="F25" s="23"/>
      <c r="G25" s="23"/>
      <c r="H25" s="26" t="str">
        <f>IF(ISBLANK(Etiket[[#This Row],[En]]),"",Etiket[[#This Row],[ADET]]*Etiket[[#This Row],[En]]*2/100)</f>
        <v/>
      </c>
      <c r="I25" s="24" t="str">
        <f>IF(ISBLANK(Etiket[[#This Row],[En]]),"",İşçilikler!$C$3)</f>
        <v/>
      </c>
      <c r="J25" s="24" t="str">
        <f>IF(ISBLANK(Etiket[[#This Row],[En]]),"",H25*I25)</f>
        <v/>
      </c>
      <c r="K25" s="25" t="str">
        <f>IF(ISBLANK(Etiket[[#This Row],[En]]),"",SUMIF(Etiket[Adı Soyadı],Etiket[[#This Row],[Adı Soyadı]],Etiket[TUTAR]))</f>
        <v/>
      </c>
    </row>
    <row r="26" spans="2:11" ht="15.6" thickTop="1" thickBot="1" x14ac:dyDescent="0.35">
      <c r="B26" s="21" t="str">
        <f>IF(ISBLANK(C26),"",SUBTOTAL(3, $C$3:C26))</f>
        <v/>
      </c>
      <c r="C26" s="35"/>
      <c r="D26" s="22"/>
      <c r="E26" s="23"/>
      <c r="F26" s="23"/>
      <c r="G26" s="23"/>
      <c r="H26" s="26" t="str">
        <f>IF(ISBLANK(Etiket[[#This Row],[En]]),"",Etiket[[#This Row],[ADET]]*Etiket[[#This Row],[En]]*2/100)</f>
        <v/>
      </c>
      <c r="I26" s="24" t="str">
        <f>IF(ISBLANK(Etiket[[#This Row],[En]]),"",İşçilikler!$C$3)</f>
        <v/>
      </c>
      <c r="J26" s="24" t="str">
        <f>IF(ISBLANK(Etiket[[#This Row],[En]]),"",H26*I26)</f>
        <v/>
      </c>
      <c r="K26" s="25" t="str">
        <f>IF(ISBLANK(Etiket[[#This Row],[En]]),"",SUMIF(Etiket[Adı Soyadı],Etiket[[#This Row],[Adı Soyadı]],Etiket[TUTAR]))</f>
        <v/>
      </c>
    </row>
    <row r="27" spans="2:11" ht="15.6" thickTop="1" thickBot="1" x14ac:dyDescent="0.35">
      <c r="B27" s="21" t="str">
        <f>IF(ISBLANK(C27),"",SUBTOTAL(3, $C$3:C27))</f>
        <v/>
      </c>
      <c r="C27" s="35"/>
      <c r="D27" s="22"/>
      <c r="E27" s="23"/>
      <c r="F27" s="23"/>
      <c r="G27" s="23"/>
      <c r="H27" s="26" t="str">
        <f>IF(ISBLANK(Etiket[[#This Row],[En]]),"",Etiket[[#This Row],[ADET]]*Etiket[[#This Row],[En]]*2/100)</f>
        <v/>
      </c>
      <c r="I27" s="24" t="str">
        <f>IF(ISBLANK(Etiket[[#This Row],[En]]),"",İşçilikler!$C$3)</f>
        <v/>
      </c>
      <c r="J27" s="24" t="str">
        <f>IF(ISBLANK(Etiket[[#This Row],[En]]),"",H27*I27)</f>
        <v/>
      </c>
      <c r="K27" s="25" t="str">
        <f>IF(ISBLANK(Etiket[[#This Row],[En]]),"",SUMIF(Etiket[Adı Soyadı],Etiket[[#This Row],[Adı Soyadı]],Etiket[TUTAR]))</f>
        <v/>
      </c>
    </row>
    <row r="28" spans="2:11" ht="15.6" thickTop="1" thickBot="1" x14ac:dyDescent="0.35">
      <c r="B28" s="21" t="str">
        <f>IF(ISBLANK(C28),"",SUBTOTAL(3, $C$3:C28))</f>
        <v/>
      </c>
      <c r="C28" s="35"/>
      <c r="D28" s="22"/>
      <c r="E28" s="23"/>
      <c r="F28" s="23"/>
      <c r="G28" s="23"/>
      <c r="H28" s="26" t="str">
        <f>IF(ISBLANK(Etiket[[#This Row],[En]]),"",Etiket[[#This Row],[ADET]]*Etiket[[#This Row],[En]]*2/100)</f>
        <v/>
      </c>
      <c r="I28" s="24" t="str">
        <f>IF(ISBLANK(Etiket[[#This Row],[En]]),"",İşçilikler!$C$3)</f>
        <v/>
      </c>
      <c r="J28" s="24" t="str">
        <f>IF(ISBLANK(Etiket[[#This Row],[En]]),"",H28*I28)</f>
        <v/>
      </c>
      <c r="K28" s="25" t="str">
        <f>IF(ISBLANK(Etiket[[#This Row],[En]]),"",SUMIF(Etiket[Adı Soyadı],Etiket[[#This Row],[Adı Soyadı]],Etiket[TUTAR]))</f>
        <v/>
      </c>
    </row>
    <row r="29" spans="2:11" ht="15.6" thickTop="1" thickBot="1" x14ac:dyDescent="0.35">
      <c r="B29" s="21" t="str">
        <f>IF(ISBLANK(C29),"",SUBTOTAL(3, $C$3:C29))</f>
        <v/>
      </c>
      <c r="C29" s="35"/>
      <c r="D29" s="22"/>
      <c r="E29" s="23"/>
      <c r="F29" s="23"/>
      <c r="G29" s="23"/>
      <c r="H29" s="26" t="str">
        <f>IF(ISBLANK(Etiket[[#This Row],[En]]),"",Etiket[[#This Row],[ADET]]*Etiket[[#This Row],[En]]*2/100)</f>
        <v/>
      </c>
      <c r="I29" s="24" t="str">
        <f>IF(ISBLANK(Etiket[[#This Row],[En]]),"",İşçilikler!$C$3)</f>
        <v/>
      </c>
      <c r="J29" s="24" t="str">
        <f>IF(ISBLANK(Etiket[[#This Row],[En]]),"",H29*I29)</f>
        <v/>
      </c>
      <c r="K29" s="25" t="str">
        <f>IF(ISBLANK(Etiket[[#This Row],[En]]),"",SUMIF(Etiket[Adı Soyadı],Etiket[[#This Row],[Adı Soyadı]],Etiket[TUTAR]))</f>
        <v/>
      </c>
    </row>
    <row r="30" spans="2:11" ht="15.6" thickTop="1" thickBot="1" x14ac:dyDescent="0.35">
      <c r="B30" s="21" t="str">
        <f>IF(ISBLANK(C30),"",SUBTOTAL(3, $C$3:C30))</f>
        <v/>
      </c>
      <c r="C30" s="35"/>
      <c r="D30" s="22"/>
      <c r="E30" s="23"/>
      <c r="F30" s="23"/>
      <c r="G30" s="23"/>
      <c r="H30" s="26" t="str">
        <f>IF(ISBLANK(Etiket[[#This Row],[En]]),"",Etiket[[#This Row],[ADET]]*Etiket[[#This Row],[En]]*2/100)</f>
        <v/>
      </c>
      <c r="I30" s="24" t="str">
        <f>IF(ISBLANK(Etiket[[#This Row],[En]]),"",İşçilikler!$C$3)</f>
        <v/>
      </c>
      <c r="J30" s="24" t="str">
        <f>IF(ISBLANK(Etiket[[#This Row],[En]]),"",H30*I30)</f>
        <v/>
      </c>
      <c r="K30" s="25" t="str">
        <f>IF(ISBLANK(Etiket[[#This Row],[En]]),"",SUMIF(Etiket[Adı Soyadı],Etiket[[#This Row],[Adı Soyadı]],Etiket[TUTAR]))</f>
        <v/>
      </c>
    </row>
    <row r="31" spans="2:11" ht="15.6" thickTop="1" thickBot="1" x14ac:dyDescent="0.35">
      <c r="B31" s="21" t="str">
        <f>IF(ISBLANK(C31),"",SUBTOTAL(3, $C$3:C31))</f>
        <v/>
      </c>
      <c r="C31" s="35"/>
      <c r="D31" s="22"/>
      <c r="E31" s="23"/>
      <c r="F31" s="23"/>
      <c r="G31" s="23"/>
      <c r="H31" s="26" t="str">
        <f>IF(ISBLANK(Etiket[[#This Row],[En]]),"",Etiket[[#This Row],[ADET]]*Etiket[[#This Row],[En]]*2/100)</f>
        <v/>
      </c>
      <c r="I31" s="24" t="str">
        <f>IF(ISBLANK(Etiket[[#This Row],[En]]),"",İşçilikler!$C$3)</f>
        <v/>
      </c>
      <c r="J31" s="24" t="str">
        <f>IF(ISBLANK(Etiket[[#This Row],[En]]),"",H31*I31)</f>
        <v/>
      </c>
      <c r="K31" s="25" t="str">
        <f>IF(ISBLANK(Etiket[[#This Row],[En]]),"",SUMIF(Etiket[Adı Soyadı],Etiket[[#This Row],[Adı Soyadı]],Etiket[TUTAR]))</f>
        <v/>
      </c>
    </row>
    <row r="32" spans="2:11" ht="15.6" thickTop="1" thickBot="1" x14ac:dyDescent="0.35">
      <c r="B32" s="21" t="str">
        <f>IF(ISBLANK(C32),"",SUBTOTAL(3, $C$3:C32))</f>
        <v/>
      </c>
      <c r="C32" s="35"/>
      <c r="D32" s="22"/>
      <c r="E32" s="23"/>
      <c r="F32" s="23"/>
      <c r="G32" s="23"/>
      <c r="H32" s="26" t="str">
        <f>IF(ISBLANK(Etiket[[#This Row],[En]]),"",Etiket[[#This Row],[ADET]]*Etiket[[#This Row],[En]]*2/100)</f>
        <v/>
      </c>
      <c r="I32" s="24" t="str">
        <f>IF(ISBLANK(Etiket[[#This Row],[En]]),"",İşçilikler!$C$3)</f>
        <v/>
      </c>
      <c r="J32" s="24" t="str">
        <f>IF(ISBLANK(Etiket[[#This Row],[En]]),"",H32*I32)</f>
        <v/>
      </c>
      <c r="K32" s="25" t="str">
        <f>IF(ISBLANK(Etiket[[#This Row],[En]]),"",SUMIF(Etiket[Adı Soyadı],Etiket[[#This Row],[Adı Soyadı]],Etiket[TUTAR]))</f>
        <v/>
      </c>
    </row>
    <row r="33" spans="2:11" ht="15.6" thickTop="1" thickBot="1" x14ac:dyDescent="0.35">
      <c r="B33" s="21" t="str">
        <f>IF(ISBLANK(C33),"",SUBTOTAL(3, $C$3:C33))</f>
        <v/>
      </c>
      <c r="C33" s="35"/>
      <c r="D33" s="22"/>
      <c r="E33" s="23"/>
      <c r="F33" s="23"/>
      <c r="G33" s="23"/>
      <c r="H33" s="26" t="str">
        <f>IF(ISBLANK(Etiket[[#This Row],[En]]),"",Etiket[[#This Row],[ADET]]*Etiket[[#This Row],[En]]*2/100)</f>
        <v/>
      </c>
      <c r="I33" s="24" t="str">
        <f>IF(ISBLANK(Etiket[[#This Row],[En]]),"",İşçilikler!$C$3)</f>
        <v/>
      </c>
      <c r="J33" s="24" t="str">
        <f>IF(ISBLANK(Etiket[[#This Row],[En]]),"",H33*I33)</f>
        <v/>
      </c>
      <c r="K33" s="25" t="str">
        <f>IF(ISBLANK(Etiket[[#This Row],[En]]),"",SUMIF(Etiket[Adı Soyadı],Etiket[[#This Row],[Adı Soyadı]],Etiket[TUTAR]))</f>
        <v/>
      </c>
    </row>
    <row r="34" spans="2:11" ht="15.6" thickTop="1" thickBot="1" x14ac:dyDescent="0.35">
      <c r="B34" s="21" t="str">
        <f>IF(ISBLANK(C34),"",SUBTOTAL(3, $C$3:C34))</f>
        <v/>
      </c>
      <c r="C34" s="35"/>
      <c r="D34" s="22"/>
      <c r="E34" s="23"/>
      <c r="F34" s="23"/>
      <c r="G34" s="23"/>
      <c r="H34" s="26" t="str">
        <f>IF(ISBLANK(Etiket[[#This Row],[En]]),"",Etiket[[#This Row],[ADET]]*Etiket[[#This Row],[En]]*2/100)</f>
        <v/>
      </c>
      <c r="I34" s="24" t="str">
        <f>IF(ISBLANK(Etiket[[#This Row],[En]]),"",İşçilikler!$C$3)</f>
        <v/>
      </c>
      <c r="J34" s="24" t="str">
        <f>IF(ISBLANK(Etiket[[#This Row],[En]]),"",H34*I34)</f>
        <v/>
      </c>
      <c r="K34" s="25" t="str">
        <f>IF(ISBLANK(Etiket[[#This Row],[En]]),"",SUMIF(Etiket[Adı Soyadı],Etiket[[#This Row],[Adı Soyadı]],Etiket[TUTAR]))</f>
        <v/>
      </c>
    </row>
    <row r="35" spans="2:11" ht="15.6" thickTop="1" thickBot="1" x14ac:dyDescent="0.35">
      <c r="B35" s="21" t="str">
        <f>IF(ISBLANK(C35),"",SUBTOTAL(3, $C$3:C35))</f>
        <v/>
      </c>
      <c r="C35" s="35"/>
      <c r="D35" s="22"/>
      <c r="E35" s="23"/>
      <c r="F35" s="23"/>
      <c r="G35" s="23"/>
      <c r="H35" s="26" t="str">
        <f>IF(ISBLANK(Etiket[[#This Row],[En]]),"",Etiket[[#This Row],[ADET]]*Etiket[[#This Row],[En]]*2/100)</f>
        <v/>
      </c>
      <c r="I35" s="24" t="str">
        <f>IF(ISBLANK(Etiket[[#This Row],[En]]),"",İşçilikler!$C$3)</f>
        <v/>
      </c>
      <c r="J35" s="24" t="str">
        <f>IF(ISBLANK(Etiket[[#This Row],[En]]),"",H35*I35)</f>
        <v/>
      </c>
      <c r="K35" s="25" t="str">
        <f>IF(ISBLANK(Etiket[[#This Row],[En]]),"",SUMIF(Etiket[Adı Soyadı],Etiket[[#This Row],[Adı Soyadı]],Etiket[TUTAR]))</f>
        <v/>
      </c>
    </row>
    <row r="36" spans="2:11" ht="15.6" thickTop="1" thickBot="1" x14ac:dyDescent="0.35">
      <c r="B36" s="21" t="str">
        <f>IF(ISBLANK(C36),"",SUBTOTAL(3, $C$3:C36))</f>
        <v/>
      </c>
      <c r="C36" s="35"/>
      <c r="D36" s="22"/>
      <c r="E36" s="23"/>
      <c r="F36" s="23"/>
      <c r="G36" s="23"/>
      <c r="H36" s="26" t="str">
        <f>IF(ISBLANK(Etiket[[#This Row],[En]]),"",Etiket[[#This Row],[ADET]]*Etiket[[#This Row],[En]]*2/100)</f>
        <v/>
      </c>
      <c r="I36" s="24" t="str">
        <f>IF(ISBLANK(Etiket[[#This Row],[En]]),"",İşçilikler!$C$3)</f>
        <v/>
      </c>
      <c r="J36" s="24" t="str">
        <f>IF(ISBLANK(Etiket[[#This Row],[En]]),"",H36*I36)</f>
        <v/>
      </c>
      <c r="K36" s="25" t="str">
        <f>IF(ISBLANK(Etiket[[#This Row],[En]]),"",SUMIF(Etiket[Adı Soyadı],Etiket[[#This Row],[Adı Soyadı]],Etiket[TUTAR]))</f>
        <v/>
      </c>
    </row>
    <row r="37" spans="2:11" ht="15.6" thickTop="1" thickBot="1" x14ac:dyDescent="0.35">
      <c r="B37" s="21" t="str">
        <f>IF(ISBLANK(C37),"",SUBTOTAL(3, $C$3:C37))</f>
        <v/>
      </c>
      <c r="C37" s="35"/>
      <c r="D37" s="22"/>
      <c r="E37" s="23"/>
      <c r="F37" s="23"/>
      <c r="G37" s="23"/>
      <c r="H37" s="26" t="str">
        <f>IF(ISBLANK(Etiket[[#This Row],[En]]),"",Etiket[[#This Row],[ADET]]*Etiket[[#This Row],[En]]*2/100)</f>
        <v/>
      </c>
      <c r="I37" s="24" t="str">
        <f>IF(ISBLANK(Etiket[[#This Row],[En]]),"",İşçilikler!$C$3)</f>
        <v/>
      </c>
      <c r="J37" s="24" t="str">
        <f>IF(ISBLANK(Etiket[[#This Row],[En]]),"",H37*I37)</f>
        <v/>
      </c>
      <c r="K37" s="25" t="str">
        <f>IF(ISBLANK(Etiket[[#This Row],[En]]),"",SUMIF(Etiket[Adı Soyadı],Etiket[[#This Row],[Adı Soyadı]],Etiket[TUTAR]))</f>
        <v/>
      </c>
    </row>
    <row r="38" spans="2:11" ht="15.6" thickTop="1" thickBot="1" x14ac:dyDescent="0.35">
      <c r="B38" s="21" t="str">
        <f>IF(ISBLANK(C38),"",SUBTOTAL(3, $C$3:C38))</f>
        <v/>
      </c>
      <c r="C38" s="35"/>
      <c r="D38" s="22"/>
      <c r="E38" s="23"/>
      <c r="F38" s="23"/>
      <c r="G38" s="23"/>
      <c r="H38" s="26" t="str">
        <f>IF(ISBLANK(Etiket[[#This Row],[En]]),"",Etiket[[#This Row],[ADET]]*Etiket[[#This Row],[En]]*2/100)</f>
        <v/>
      </c>
      <c r="I38" s="24" t="str">
        <f>IF(ISBLANK(Etiket[[#This Row],[En]]),"",İşçilikler!$C$3)</f>
        <v/>
      </c>
      <c r="J38" s="24" t="str">
        <f>IF(ISBLANK(Etiket[[#This Row],[En]]),"",H38*I38)</f>
        <v/>
      </c>
      <c r="K38" s="25" t="str">
        <f>IF(ISBLANK(Etiket[[#This Row],[En]]),"",SUMIF(Etiket[Adı Soyadı],Etiket[[#This Row],[Adı Soyadı]],Etiket[TUTAR]))</f>
        <v/>
      </c>
    </row>
    <row r="39" spans="2:11" ht="15.6" thickTop="1" thickBot="1" x14ac:dyDescent="0.35">
      <c r="B39" s="21" t="str">
        <f>IF(ISBLANK(C39),"",SUBTOTAL(3, $C$3:C39))</f>
        <v/>
      </c>
      <c r="C39" s="35"/>
      <c r="D39" s="22"/>
      <c r="E39" s="23"/>
      <c r="F39" s="23"/>
      <c r="G39" s="23"/>
      <c r="H39" s="26" t="str">
        <f>IF(ISBLANK(Etiket[[#This Row],[En]]),"",Etiket[[#This Row],[ADET]]*Etiket[[#This Row],[En]]*2/100)</f>
        <v/>
      </c>
      <c r="I39" s="24" t="str">
        <f>IF(ISBLANK(Etiket[[#This Row],[En]]),"",İşçilikler!$C$3)</f>
        <v/>
      </c>
      <c r="J39" s="24" t="str">
        <f>IF(ISBLANK(Etiket[[#This Row],[En]]),"",H39*I39)</f>
        <v/>
      </c>
      <c r="K39" s="25" t="str">
        <f>IF(ISBLANK(Etiket[[#This Row],[En]]),"",SUMIF(Etiket[Adı Soyadı],Etiket[[#This Row],[Adı Soyadı]],Etiket[TUTAR]))</f>
        <v/>
      </c>
    </row>
    <row r="40" spans="2:11" ht="15.6" thickTop="1" thickBot="1" x14ac:dyDescent="0.35">
      <c r="B40" s="21" t="str">
        <f>IF(ISBLANK(C40),"",SUBTOTAL(3, $C$3:C40))</f>
        <v/>
      </c>
      <c r="C40" s="35"/>
      <c r="D40" s="22"/>
      <c r="E40" s="23"/>
      <c r="F40" s="23"/>
      <c r="G40" s="23"/>
      <c r="H40" s="26" t="str">
        <f>IF(ISBLANK(Etiket[[#This Row],[En]]),"",Etiket[[#This Row],[ADET]]*Etiket[[#This Row],[En]]*2/100)</f>
        <v/>
      </c>
      <c r="I40" s="24" t="str">
        <f>IF(ISBLANK(Etiket[[#This Row],[En]]),"",İşçilikler!$C$3)</f>
        <v/>
      </c>
      <c r="J40" s="24" t="str">
        <f>IF(ISBLANK(Etiket[[#This Row],[En]]),"",H40*I40)</f>
        <v/>
      </c>
      <c r="K40" s="25" t="str">
        <f>IF(ISBLANK(Etiket[[#This Row],[En]]),"",SUMIF(Etiket[Adı Soyadı],Etiket[[#This Row],[Adı Soyadı]],Etiket[TUTAR]))</f>
        <v/>
      </c>
    </row>
    <row r="41" spans="2:11" ht="15.6" thickTop="1" thickBot="1" x14ac:dyDescent="0.35">
      <c r="B41" s="21" t="str">
        <f>IF(ISBLANK(C41),"",SUBTOTAL(3, $C$3:C41))</f>
        <v/>
      </c>
      <c r="C41" s="35"/>
      <c r="D41" s="22"/>
      <c r="E41" s="23"/>
      <c r="F41" s="23"/>
      <c r="G41" s="23"/>
      <c r="H41" s="26" t="str">
        <f>IF(ISBLANK(Etiket[[#This Row],[En]]),"",Etiket[[#This Row],[ADET]]*Etiket[[#This Row],[En]]*2/100)</f>
        <v/>
      </c>
      <c r="I41" s="24" t="str">
        <f>IF(ISBLANK(Etiket[[#This Row],[En]]),"",İşçilikler!$C$3)</f>
        <v/>
      </c>
      <c r="J41" s="24" t="str">
        <f>IF(ISBLANK(Etiket[[#This Row],[En]]),"",H41*I41)</f>
        <v/>
      </c>
      <c r="K41" s="25" t="str">
        <f>IF(ISBLANK(Etiket[[#This Row],[En]]),"",SUMIF(Etiket[Adı Soyadı],Etiket[[#This Row],[Adı Soyadı]],Etiket[TUTAR]))</f>
        <v/>
      </c>
    </row>
    <row r="42" spans="2:11" ht="15.6" thickTop="1" thickBot="1" x14ac:dyDescent="0.35">
      <c r="B42" s="21" t="str">
        <f>IF(ISBLANK(C42),"",SUBTOTAL(3, $C$3:C42))</f>
        <v/>
      </c>
      <c r="C42" s="35"/>
      <c r="D42" s="22"/>
      <c r="E42" s="23"/>
      <c r="F42" s="23"/>
      <c r="G42" s="23"/>
      <c r="H42" s="26" t="str">
        <f>IF(ISBLANK(Etiket[[#This Row],[En]]),"",Etiket[[#This Row],[ADET]]*Etiket[[#This Row],[En]]*2/100)</f>
        <v/>
      </c>
      <c r="I42" s="24" t="str">
        <f>IF(ISBLANK(Etiket[[#This Row],[En]]),"",İşçilikler!$C$3)</f>
        <v/>
      </c>
      <c r="J42" s="24" t="str">
        <f>IF(ISBLANK(Etiket[[#This Row],[En]]),"",H42*I42)</f>
        <v/>
      </c>
      <c r="K42" s="25" t="str">
        <f>IF(ISBLANK(Etiket[[#This Row],[En]]),"",SUMIF(Etiket[Adı Soyadı],Etiket[[#This Row],[Adı Soyadı]],Etiket[TUTAR]))</f>
        <v/>
      </c>
    </row>
    <row r="43" spans="2:11" ht="15.6" thickTop="1" thickBot="1" x14ac:dyDescent="0.35">
      <c r="B43" s="21" t="str">
        <f>IF(ISBLANK(C43),"",SUBTOTAL(3, $C$3:C43))</f>
        <v/>
      </c>
      <c r="C43" s="35"/>
      <c r="D43" s="22"/>
      <c r="E43" s="23"/>
      <c r="F43" s="23"/>
      <c r="G43" s="23"/>
      <c r="H43" s="26" t="str">
        <f>IF(ISBLANK(Etiket[[#This Row],[En]]),"",Etiket[[#This Row],[ADET]]*Etiket[[#This Row],[En]]*2/100)</f>
        <v/>
      </c>
      <c r="I43" s="24" t="str">
        <f>IF(ISBLANK(Etiket[[#This Row],[En]]),"",İşçilikler!$C$3)</f>
        <v/>
      </c>
      <c r="J43" s="24" t="str">
        <f>IF(ISBLANK(Etiket[[#This Row],[En]]),"",H43*I43)</f>
        <v/>
      </c>
      <c r="K43" s="25" t="str">
        <f>IF(ISBLANK(Etiket[[#This Row],[En]]),"",SUMIF(Etiket[Adı Soyadı],Etiket[[#This Row],[Adı Soyadı]],Etiket[TUTAR]))</f>
        <v/>
      </c>
    </row>
    <row r="44" spans="2:11" ht="15.6" thickTop="1" thickBot="1" x14ac:dyDescent="0.35">
      <c r="B44" s="21" t="str">
        <f>IF(ISBLANK(C44),"",SUBTOTAL(3, $C$3:C44))</f>
        <v/>
      </c>
      <c r="C44" s="35"/>
      <c r="D44" s="22"/>
      <c r="E44" s="23"/>
      <c r="F44" s="23"/>
      <c r="G44" s="23"/>
      <c r="H44" s="26" t="str">
        <f>IF(ISBLANK(Etiket[[#This Row],[En]]),"",Etiket[[#This Row],[ADET]]*Etiket[[#This Row],[En]]*2/100)</f>
        <v/>
      </c>
      <c r="I44" s="24" t="str">
        <f>IF(ISBLANK(Etiket[[#This Row],[En]]),"",İşçilikler!$C$3)</f>
        <v/>
      </c>
      <c r="J44" s="24" t="str">
        <f>IF(ISBLANK(Etiket[[#This Row],[En]]),"",H44*I44)</f>
        <v/>
      </c>
      <c r="K44" s="25" t="str">
        <f>IF(ISBLANK(Etiket[[#This Row],[En]]),"",SUMIF(Etiket[Adı Soyadı],Etiket[[#This Row],[Adı Soyadı]],Etiket[TUTAR]))</f>
        <v/>
      </c>
    </row>
    <row r="45" spans="2:11" ht="15.6" thickTop="1" thickBot="1" x14ac:dyDescent="0.35">
      <c r="B45" s="21" t="str">
        <f>IF(ISBLANK(C45),"",SUBTOTAL(3, $C$3:C45))</f>
        <v/>
      </c>
      <c r="C45" s="35"/>
      <c r="D45" s="22"/>
      <c r="E45" s="23"/>
      <c r="F45" s="23"/>
      <c r="G45" s="23"/>
      <c r="H45" s="26" t="str">
        <f>IF(ISBLANK(Etiket[[#This Row],[En]]),"",Etiket[[#This Row],[ADET]]*Etiket[[#This Row],[En]]*2/100)</f>
        <v/>
      </c>
      <c r="I45" s="24" t="str">
        <f>IF(ISBLANK(Etiket[[#This Row],[En]]),"",İşçilikler!$C$3)</f>
        <v/>
      </c>
      <c r="J45" s="24" t="str">
        <f>IF(ISBLANK(Etiket[[#This Row],[En]]),"",H45*I45)</f>
        <v/>
      </c>
      <c r="K45" s="25" t="str">
        <f>IF(ISBLANK(Etiket[[#This Row],[En]]),"",SUMIF(Etiket[Adı Soyadı],Etiket[[#This Row],[Adı Soyadı]],Etiket[TUTAR]))</f>
        <v/>
      </c>
    </row>
    <row r="46" spans="2:11" ht="15.6" thickTop="1" thickBot="1" x14ac:dyDescent="0.35">
      <c r="B46" s="21" t="str">
        <f>IF(ISBLANK(C46),"",SUBTOTAL(3, $C$3:C46))</f>
        <v/>
      </c>
      <c r="C46" s="35"/>
      <c r="D46" s="22"/>
      <c r="E46" s="23"/>
      <c r="F46" s="23"/>
      <c r="G46" s="23"/>
      <c r="H46" s="26" t="str">
        <f>IF(ISBLANK(Etiket[[#This Row],[En]]),"",Etiket[[#This Row],[ADET]]*Etiket[[#This Row],[En]]*2/100)</f>
        <v/>
      </c>
      <c r="I46" s="24" t="str">
        <f>IF(ISBLANK(Etiket[[#This Row],[En]]),"",İşçilikler!$C$3)</f>
        <v/>
      </c>
      <c r="J46" s="24" t="str">
        <f>IF(ISBLANK(Etiket[[#This Row],[En]]),"",H46*I46)</f>
        <v/>
      </c>
      <c r="K46" s="25" t="str">
        <f>IF(ISBLANK(Etiket[[#This Row],[En]]),"",SUMIF(Etiket[Adı Soyadı],Etiket[[#This Row],[Adı Soyadı]],Etiket[TUTAR]))</f>
        <v/>
      </c>
    </row>
    <row r="47" spans="2:11" ht="15.6" thickTop="1" thickBot="1" x14ac:dyDescent="0.35">
      <c r="B47" s="21" t="str">
        <f>IF(ISBLANK(C47),"",SUBTOTAL(3, $C$3:C47))</f>
        <v/>
      </c>
      <c r="C47" s="35"/>
      <c r="D47" s="22"/>
      <c r="E47" s="23"/>
      <c r="F47" s="23"/>
      <c r="G47" s="23"/>
      <c r="H47" s="26" t="str">
        <f>IF(ISBLANK(Etiket[[#This Row],[En]]),"",Etiket[[#This Row],[ADET]]*Etiket[[#This Row],[En]]*2/100)</f>
        <v/>
      </c>
      <c r="I47" s="24" t="str">
        <f>IF(ISBLANK(Etiket[[#This Row],[En]]),"",İşçilikler!$C$3)</f>
        <v/>
      </c>
      <c r="J47" s="24" t="str">
        <f>IF(ISBLANK(Etiket[[#This Row],[En]]),"",H47*I47)</f>
        <v/>
      </c>
      <c r="K47" s="25" t="str">
        <f>IF(ISBLANK(Etiket[[#This Row],[En]]),"",SUMIF(Etiket[Adı Soyadı],Etiket[[#This Row],[Adı Soyadı]],Etiket[TUTAR]))</f>
        <v/>
      </c>
    </row>
    <row r="48" spans="2:11" ht="15.6" thickTop="1" thickBot="1" x14ac:dyDescent="0.35">
      <c r="B48" s="21" t="str">
        <f>IF(ISBLANK(C48),"",SUBTOTAL(3, $C$3:C48))</f>
        <v/>
      </c>
      <c r="C48" s="35"/>
      <c r="D48" s="22"/>
      <c r="E48" s="23"/>
      <c r="F48" s="23"/>
      <c r="G48" s="23"/>
      <c r="H48" s="26" t="str">
        <f>IF(ISBLANK(Etiket[[#This Row],[En]]),"",Etiket[[#This Row],[ADET]]*Etiket[[#This Row],[En]]*2/100)</f>
        <v/>
      </c>
      <c r="I48" s="24" t="str">
        <f>IF(ISBLANK(Etiket[[#This Row],[En]]),"",İşçilikler!$C$3)</f>
        <v/>
      </c>
      <c r="J48" s="24" t="str">
        <f>IF(ISBLANK(Etiket[[#This Row],[En]]),"",H48*I48)</f>
        <v/>
      </c>
      <c r="K48" s="25" t="str">
        <f>IF(ISBLANK(Etiket[[#This Row],[En]]),"",SUMIF(Etiket[Adı Soyadı],Etiket[[#This Row],[Adı Soyadı]],Etiket[TUTAR]))</f>
        <v/>
      </c>
    </row>
    <row r="49" spans="2:11" ht="15.6" thickTop="1" thickBot="1" x14ac:dyDescent="0.35">
      <c r="B49" s="21" t="str">
        <f>IF(ISBLANK(C49),"",SUBTOTAL(3, $C$3:C49))</f>
        <v/>
      </c>
      <c r="C49" s="35"/>
      <c r="D49" s="22"/>
      <c r="E49" s="23"/>
      <c r="F49" s="23"/>
      <c r="G49" s="23"/>
      <c r="H49" s="26" t="str">
        <f>IF(ISBLANK(Etiket[[#This Row],[En]]),"",Etiket[[#This Row],[ADET]]*Etiket[[#This Row],[En]]*2/100)</f>
        <v/>
      </c>
      <c r="I49" s="24" t="str">
        <f>IF(ISBLANK(Etiket[[#This Row],[En]]),"",İşçilikler!$C$3)</f>
        <v/>
      </c>
      <c r="J49" s="24" t="str">
        <f>IF(ISBLANK(Etiket[[#This Row],[En]]),"",H49*I49)</f>
        <v/>
      </c>
      <c r="K49" s="25" t="str">
        <f>IF(ISBLANK(Etiket[[#This Row],[En]]),"",SUMIF(Etiket[Adı Soyadı],Etiket[[#This Row],[Adı Soyadı]],Etiket[TUTAR]))</f>
        <v/>
      </c>
    </row>
    <row r="50" spans="2:11" ht="15.6" thickTop="1" thickBot="1" x14ac:dyDescent="0.35">
      <c r="B50" s="21" t="str">
        <f>IF(ISBLANK(C50),"",SUBTOTAL(3, $C$3:C50))</f>
        <v/>
      </c>
      <c r="C50" s="35"/>
      <c r="D50" s="22"/>
      <c r="E50" s="23"/>
      <c r="F50" s="23"/>
      <c r="G50" s="23"/>
      <c r="H50" s="26" t="str">
        <f>IF(ISBLANK(Etiket[[#This Row],[En]]),"",Etiket[[#This Row],[ADET]]*Etiket[[#This Row],[En]]*2/100)</f>
        <v/>
      </c>
      <c r="I50" s="24" t="str">
        <f>IF(ISBLANK(Etiket[[#This Row],[En]]),"",İşçilikler!$C$3)</f>
        <v/>
      </c>
      <c r="J50" s="24" t="str">
        <f>IF(ISBLANK(Etiket[[#This Row],[En]]),"",H50*I50)</f>
        <v/>
      </c>
      <c r="K50" s="25" t="str">
        <f>IF(ISBLANK(Etiket[[#This Row],[En]]),"",SUMIF(Etiket[Adı Soyadı],Etiket[[#This Row],[Adı Soyadı]],Etiket[TUTAR]))</f>
        <v/>
      </c>
    </row>
    <row r="51" spans="2:11" ht="15.6" thickTop="1" thickBot="1" x14ac:dyDescent="0.35">
      <c r="B51" s="21" t="str">
        <f>IF(ISBLANK(C51),"",SUBTOTAL(3, $C$3:C51))</f>
        <v/>
      </c>
      <c r="C51" s="35"/>
      <c r="D51" s="22"/>
      <c r="E51" s="23"/>
      <c r="F51" s="23"/>
      <c r="G51" s="23"/>
      <c r="H51" s="26" t="str">
        <f>IF(ISBLANK(Etiket[[#This Row],[En]]),"",Etiket[[#This Row],[ADET]]*Etiket[[#This Row],[En]]*2/100)</f>
        <v/>
      </c>
      <c r="I51" s="24" t="str">
        <f>IF(ISBLANK(Etiket[[#This Row],[En]]),"",İşçilikler!$C$3)</f>
        <v/>
      </c>
      <c r="J51" s="24" t="str">
        <f>IF(ISBLANK(Etiket[[#This Row],[En]]),"",H51*I51)</f>
        <v/>
      </c>
      <c r="K51" s="25" t="str">
        <f>IF(ISBLANK(Etiket[[#This Row],[En]]),"",SUMIF(Etiket[Adı Soyadı],Etiket[[#This Row],[Adı Soyadı]],Etiket[TUTAR]))</f>
        <v/>
      </c>
    </row>
    <row r="52" spans="2:11" ht="15.6" thickTop="1" thickBot="1" x14ac:dyDescent="0.35">
      <c r="B52" s="21" t="str">
        <f>IF(ISBLANK(C52),"",SUBTOTAL(3, $C$3:C52))</f>
        <v/>
      </c>
      <c r="C52" s="35"/>
      <c r="D52" s="22"/>
      <c r="E52" s="23"/>
      <c r="F52" s="23"/>
      <c r="G52" s="23"/>
      <c r="H52" s="26" t="str">
        <f>IF(ISBLANK(Etiket[[#This Row],[En]]),"",Etiket[[#This Row],[ADET]]*Etiket[[#This Row],[En]]*2/100)</f>
        <v/>
      </c>
      <c r="I52" s="24" t="str">
        <f>IF(ISBLANK(Etiket[[#This Row],[En]]),"",İşçilikler!$C$3)</f>
        <v/>
      </c>
      <c r="J52" s="24" t="str">
        <f>IF(ISBLANK(Etiket[[#This Row],[En]]),"",H52*I52)</f>
        <v/>
      </c>
      <c r="K52" s="25" t="str">
        <f>IF(ISBLANK(Etiket[[#This Row],[En]]),"",SUMIF(Etiket[Adı Soyadı],Etiket[[#This Row],[Adı Soyadı]],Etiket[TUTAR]))</f>
        <v/>
      </c>
    </row>
    <row r="53" spans="2:11" ht="15.6" thickTop="1" thickBot="1" x14ac:dyDescent="0.35">
      <c r="B53" s="21" t="str">
        <f>IF(ISBLANK(C53),"",SUBTOTAL(3, $C$3:C53))</f>
        <v/>
      </c>
      <c r="C53" s="35"/>
      <c r="D53" s="22"/>
      <c r="E53" s="23"/>
      <c r="F53" s="23"/>
      <c r="G53" s="23"/>
      <c r="H53" s="26" t="str">
        <f>IF(ISBLANK(Etiket[[#This Row],[En]]),"",Etiket[[#This Row],[ADET]]*Etiket[[#This Row],[En]]*2/100)</f>
        <v/>
      </c>
      <c r="I53" s="24" t="str">
        <f>IF(ISBLANK(Etiket[[#This Row],[En]]),"",İşçilikler!$C$3)</f>
        <v/>
      </c>
      <c r="J53" s="24" t="str">
        <f>IF(ISBLANK(Etiket[[#This Row],[En]]),"",H53*I53)</f>
        <v/>
      </c>
      <c r="K53" s="25" t="str">
        <f>IF(ISBLANK(Etiket[[#This Row],[En]]),"",SUMIF(Etiket[Adı Soyadı],Etiket[[#This Row],[Adı Soyadı]],Etiket[TUTAR]))</f>
        <v/>
      </c>
    </row>
    <row r="54" spans="2:11" ht="15.6" thickTop="1" thickBot="1" x14ac:dyDescent="0.35">
      <c r="B54" s="21" t="str">
        <f>IF(ISBLANK(C54),"",SUBTOTAL(3, $C$3:C54))</f>
        <v/>
      </c>
      <c r="C54" s="35"/>
      <c r="D54" s="22"/>
      <c r="E54" s="23"/>
      <c r="F54" s="23"/>
      <c r="G54" s="23"/>
      <c r="H54" s="26" t="str">
        <f>IF(ISBLANK(Etiket[[#This Row],[En]]),"",Etiket[[#This Row],[ADET]]*Etiket[[#This Row],[En]]*2/100)</f>
        <v/>
      </c>
      <c r="I54" s="24" t="str">
        <f>IF(ISBLANK(Etiket[[#This Row],[En]]),"",İşçilikler!$C$3)</f>
        <v/>
      </c>
      <c r="J54" s="24" t="str">
        <f>IF(ISBLANK(Etiket[[#This Row],[En]]),"",H54*I54)</f>
        <v/>
      </c>
      <c r="K54" s="25" t="str">
        <f>IF(ISBLANK(Etiket[[#This Row],[En]]),"",SUMIF(Etiket[Adı Soyadı],Etiket[[#This Row],[Adı Soyadı]],Etiket[TUTAR]))</f>
        <v/>
      </c>
    </row>
    <row r="55" spans="2:11" ht="15.6" thickTop="1" thickBot="1" x14ac:dyDescent="0.35">
      <c r="B55" s="21" t="str">
        <f>IF(ISBLANK(C55),"",SUBTOTAL(3, $C$3:C55))</f>
        <v/>
      </c>
      <c r="C55" s="35"/>
      <c r="D55" s="22"/>
      <c r="E55" s="23"/>
      <c r="F55" s="23"/>
      <c r="G55" s="23"/>
      <c r="H55" s="26" t="str">
        <f>IF(ISBLANK(Etiket[[#This Row],[En]]),"",Etiket[[#This Row],[ADET]]*Etiket[[#This Row],[En]]*2/100)</f>
        <v/>
      </c>
      <c r="I55" s="24" t="str">
        <f>IF(ISBLANK(Etiket[[#This Row],[En]]),"",İşçilikler!$C$3)</f>
        <v/>
      </c>
      <c r="J55" s="24" t="str">
        <f>IF(ISBLANK(Etiket[[#This Row],[En]]),"",H55*I55)</f>
        <v/>
      </c>
      <c r="K55" s="25" t="str">
        <f>IF(ISBLANK(Etiket[[#This Row],[En]]),"",SUMIF(Etiket[Adı Soyadı],Etiket[[#This Row],[Adı Soyadı]],Etiket[TUTAR]))</f>
        <v/>
      </c>
    </row>
    <row r="56" spans="2:11" ht="15.6" thickTop="1" thickBot="1" x14ac:dyDescent="0.35">
      <c r="B56" s="21" t="str">
        <f>IF(ISBLANK(C56),"",SUBTOTAL(3, $C$3:C56))</f>
        <v/>
      </c>
      <c r="C56" s="35"/>
      <c r="D56" s="22"/>
      <c r="E56" s="23"/>
      <c r="F56" s="23"/>
      <c r="G56" s="23"/>
      <c r="H56" s="26" t="str">
        <f>IF(ISBLANK(Etiket[[#This Row],[En]]),"",Etiket[[#This Row],[ADET]]*Etiket[[#This Row],[En]]*2/100)</f>
        <v/>
      </c>
      <c r="I56" s="24" t="str">
        <f>IF(ISBLANK(Etiket[[#This Row],[En]]),"",İşçilikler!$C$3)</f>
        <v/>
      </c>
      <c r="J56" s="24" t="str">
        <f>IF(ISBLANK(Etiket[[#This Row],[En]]),"",H56*I56)</f>
        <v/>
      </c>
      <c r="K56" s="25" t="str">
        <f>IF(ISBLANK(Etiket[[#This Row],[En]]),"",SUMIF(Etiket[Adı Soyadı],Etiket[[#This Row],[Adı Soyadı]],Etiket[TUTAR]))</f>
        <v/>
      </c>
    </row>
    <row r="57" spans="2:11" ht="15.6" thickTop="1" thickBot="1" x14ac:dyDescent="0.35">
      <c r="B57" s="21" t="str">
        <f>IF(ISBLANK(C57),"",SUBTOTAL(3, $C$3:C57))</f>
        <v/>
      </c>
      <c r="C57" s="35"/>
      <c r="D57" s="22"/>
      <c r="E57" s="23"/>
      <c r="F57" s="23"/>
      <c r="G57" s="23"/>
      <c r="H57" s="26" t="str">
        <f>IF(ISBLANK(Etiket[[#This Row],[En]]),"",Etiket[[#This Row],[ADET]]*Etiket[[#This Row],[En]]*2/100)</f>
        <v/>
      </c>
      <c r="I57" s="24" t="str">
        <f>IF(ISBLANK(Etiket[[#This Row],[En]]),"",İşçilikler!$C$3)</f>
        <v/>
      </c>
      <c r="J57" s="24" t="str">
        <f>IF(ISBLANK(Etiket[[#This Row],[En]]),"",H57*I57)</f>
        <v/>
      </c>
      <c r="K57" s="25" t="str">
        <f>IF(ISBLANK(Etiket[[#This Row],[En]]),"",SUMIF(Etiket[Adı Soyadı],Etiket[[#This Row],[Adı Soyadı]],Etiket[TUTAR]))</f>
        <v/>
      </c>
    </row>
    <row r="58" spans="2:11" ht="15.6" thickTop="1" thickBot="1" x14ac:dyDescent="0.35">
      <c r="B58" s="21" t="str">
        <f>IF(ISBLANK(C58),"",SUBTOTAL(3, $C$3:C58))</f>
        <v/>
      </c>
      <c r="C58" s="35"/>
      <c r="D58" s="22"/>
      <c r="E58" s="23"/>
      <c r="F58" s="23"/>
      <c r="G58" s="23"/>
      <c r="H58" s="26" t="str">
        <f>IF(ISBLANK(Etiket[[#This Row],[En]]),"",Etiket[[#This Row],[ADET]]*Etiket[[#This Row],[En]]*2/100)</f>
        <v/>
      </c>
      <c r="I58" s="24" t="str">
        <f>IF(ISBLANK(Etiket[[#This Row],[En]]),"",İşçilikler!$C$3)</f>
        <v/>
      </c>
      <c r="J58" s="24" t="str">
        <f>IF(ISBLANK(Etiket[[#This Row],[En]]),"",H58*I58)</f>
        <v/>
      </c>
      <c r="K58" s="25" t="str">
        <f>IF(ISBLANK(Etiket[[#This Row],[En]]),"",SUMIF(Etiket[Adı Soyadı],Etiket[[#This Row],[Adı Soyadı]],Etiket[TUTAR]))</f>
        <v/>
      </c>
    </row>
    <row r="59" spans="2:11" ht="15.6" thickTop="1" thickBot="1" x14ac:dyDescent="0.35">
      <c r="B59" s="21" t="str">
        <f>IF(ISBLANK(C59),"",SUBTOTAL(3, $C$3:C59))</f>
        <v/>
      </c>
      <c r="C59" s="35"/>
      <c r="D59" s="22"/>
      <c r="E59" s="23"/>
      <c r="F59" s="23"/>
      <c r="G59" s="23"/>
      <c r="H59" s="26" t="str">
        <f>IF(ISBLANK(Etiket[[#This Row],[En]]),"",Etiket[[#This Row],[ADET]]*Etiket[[#This Row],[En]]*2/100)</f>
        <v/>
      </c>
      <c r="I59" s="24" t="str">
        <f>IF(ISBLANK(Etiket[[#This Row],[En]]),"",İşçilikler!$C$3)</f>
        <v/>
      </c>
      <c r="J59" s="24" t="str">
        <f>IF(ISBLANK(Etiket[[#This Row],[En]]),"",H59*I59)</f>
        <v/>
      </c>
      <c r="K59" s="25" t="str">
        <f>IF(ISBLANK(Etiket[[#This Row],[En]]),"",SUMIF(Etiket[Adı Soyadı],Etiket[[#This Row],[Adı Soyadı]],Etiket[TUTAR]))</f>
        <v/>
      </c>
    </row>
    <row r="60" spans="2:11" ht="15.6" thickTop="1" thickBot="1" x14ac:dyDescent="0.35">
      <c r="B60" s="21" t="str">
        <f>IF(ISBLANK(C60),"",SUBTOTAL(3, $C$3:C60))</f>
        <v/>
      </c>
      <c r="C60" s="35"/>
      <c r="D60" s="22"/>
      <c r="E60" s="23"/>
      <c r="F60" s="23"/>
      <c r="G60" s="23"/>
      <c r="H60" s="26" t="str">
        <f>IF(ISBLANK(Etiket[[#This Row],[En]]),"",Etiket[[#This Row],[ADET]]*Etiket[[#This Row],[En]]*2/100)</f>
        <v/>
      </c>
      <c r="I60" s="24" t="str">
        <f>IF(ISBLANK(Etiket[[#This Row],[En]]),"",İşçilikler!$C$3)</f>
        <v/>
      </c>
      <c r="J60" s="24" t="str">
        <f>IF(ISBLANK(Etiket[[#This Row],[En]]),"",H60*I60)</f>
        <v/>
      </c>
      <c r="K60" s="25" t="str">
        <f>IF(ISBLANK(Etiket[[#This Row],[En]]),"",SUMIF(Etiket[Adı Soyadı],Etiket[[#This Row],[Adı Soyadı]],Etiket[TUTAR]))</f>
        <v/>
      </c>
    </row>
    <row r="61" spans="2:11" ht="15.6" thickTop="1" thickBot="1" x14ac:dyDescent="0.35">
      <c r="B61" s="21" t="str">
        <f>IF(ISBLANK(C61),"",SUBTOTAL(3, $C$3:C61))</f>
        <v/>
      </c>
      <c r="C61" s="35"/>
      <c r="D61" s="22"/>
      <c r="E61" s="23"/>
      <c r="F61" s="23"/>
      <c r="G61" s="23"/>
      <c r="H61" s="26" t="str">
        <f>IF(ISBLANK(Etiket[[#This Row],[En]]),"",Etiket[[#This Row],[ADET]]*Etiket[[#This Row],[En]]*2/100)</f>
        <v/>
      </c>
      <c r="I61" s="24" t="str">
        <f>IF(ISBLANK(Etiket[[#This Row],[En]]),"",İşçilikler!$C$3)</f>
        <v/>
      </c>
      <c r="J61" s="24" t="str">
        <f>IF(ISBLANK(Etiket[[#This Row],[En]]),"",H61*I61)</f>
        <v/>
      </c>
      <c r="K61" s="25" t="str">
        <f>IF(ISBLANK(Etiket[[#This Row],[En]]),"",SUMIF(Etiket[Adı Soyadı],Etiket[[#This Row],[Adı Soyadı]],Etiket[TUTAR]))</f>
        <v/>
      </c>
    </row>
    <row r="62" spans="2:11" ht="15.6" thickTop="1" thickBot="1" x14ac:dyDescent="0.35">
      <c r="B62" s="21" t="str">
        <f>IF(ISBLANK(C62),"",SUBTOTAL(3, $C$3:C62))</f>
        <v/>
      </c>
      <c r="C62" s="35"/>
      <c r="D62" s="22"/>
      <c r="E62" s="23"/>
      <c r="F62" s="23"/>
      <c r="G62" s="23"/>
      <c r="H62" s="26" t="str">
        <f>IF(ISBLANK(Etiket[[#This Row],[En]]),"",Etiket[[#This Row],[ADET]]*Etiket[[#This Row],[En]]*2/100)</f>
        <v/>
      </c>
      <c r="I62" s="24" t="str">
        <f>IF(ISBLANK(Etiket[[#This Row],[En]]),"",İşçilikler!$C$3)</f>
        <v/>
      </c>
      <c r="J62" s="24" t="str">
        <f>IF(ISBLANK(Etiket[[#This Row],[En]]),"",H62*I62)</f>
        <v/>
      </c>
      <c r="K62" s="25" t="str">
        <f>IF(ISBLANK(Etiket[[#This Row],[En]]),"",SUMIF(Etiket[Adı Soyadı],Etiket[[#This Row],[Adı Soyadı]],Etiket[TUTAR]))</f>
        <v/>
      </c>
    </row>
    <row r="63" spans="2:11" ht="15.6" thickTop="1" thickBot="1" x14ac:dyDescent="0.35">
      <c r="B63" s="21" t="str">
        <f>IF(ISBLANK(C63),"",SUBTOTAL(3, $C$3:C63))</f>
        <v/>
      </c>
      <c r="C63" s="35"/>
      <c r="D63" s="22"/>
      <c r="E63" s="23"/>
      <c r="F63" s="23"/>
      <c r="G63" s="23"/>
      <c r="H63" s="26" t="str">
        <f>IF(ISBLANK(Etiket[[#This Row],[En]]),"",Etiket[[#This Row],[ADET]]*Etiket[[#This Row],[En]]*2/100)</f>
        <v/>
      </c>
      <c r="I63" s="24" t="str">
        <f>IF(ISBLANK(Etiket[[#This Row],[En]]),"",İşçilikler!$C$3)</f>
        <v/>
      </c>
      <c r="J63" s="24" t="str">
        <f>IF(ISBLANK(Etiket[[#This Row],[En]]),"",H63*I63)</f>
        <v/>
      </c>
      <c r="K63" s="25" t="str">
        <f>IF(ISBLANK(Etiket[[#This Row],[En]]),"",SUMIF(Etiket[Adı Soyadı],Etiket[[#This Row],[Adı Soyadı]],Etiket[TUTAR]))</f>
        <v/>
      </c>
    </row>
    <row r="64" spans="2:11" ht="15.6" thickTop="1" thickBot="1" x14ac:dyDescent="0.35">
      <c r="B64" s="21" t="str">
        <f>IF(ISBLANK(C64),"",SUBTOTAL(3, $C$3:C64))</f>
        <v/>
      </c>
      <c r="C64" s="35"/>
      <c r="D64" s="22"/>
      <c r="E64" s="23"/>
      <c r="F64" s="23"/>
      <c r="G64" s="23"/>
      <c r="H64" s="26" t="str">
        <f>IF(ISBLANK(Etiket[[#This Row],[En]]),"",Etiket[[#This Row],[ADET]]*Etiket[[#This Row],[En]]*2/100)</f>
        <v/>
      </c>
      <c r="I64" s="24" t="str">
        <f>IF(ISBLANK(Etiket[[#This Row],[En]]),"",İşçilikler!$C$3)</f>
        <v/>
      </c>
      <c r="J64" s="24" t="str">
        <f>IF(ISBLANK(Etiket[[#This Row],[En]]),"",H64*I64)</f>
        <v/>
      </c>
      <c r="K64" s="25" t="str">
        <f>IF(ISBLANK(Etiket[[#This Row],[En]]),"",SUMIF(Etiket[Adı Soyadı],Etiket[[#This Row],[Adı Soyadı]],Etiket[TUTAR]))</f>
        <v/>
      </c>
    </row>
    <row r="65" spans="2:11" ht="15.6" thickTop="1" thickBot="1" x14ac:dyDescent="0.35">
      <c r="B65" s="21" t="str">
        <f>IF(ISBLANK(C65),"",SUBTOTAL(3, $C$3:C65))</f>
        <v/>
      </c>
      <c r="C65" s="35"/>
      <c r="D65" s="22"/>
      <c r="E65" s="23"/>
      <c r="F65" s="23"/>
      <c r="G65" s="23"/>
      <c r="H65" s="26" t="str">
        <f>IF(ISBLANK(Etiket[[#This Row],[En]]),"",Etiket[[#This Row],[ADET]]*Etiket[[#This Row],[En]]*2/100)</f>
        <v/>
      </c>
      <c r="I65" s="24" t="str">
        <f>IF(ISBLANK(Etiket[[#This Row],[En]]),"",İşçilikler!$C$3)</f>
        <v/>
      </c>
      <c r="J65" s="24" t="str">
        <f>IF(ISBLANK(Etiket[[#This Row],[En]]),"",H65*I65)</f>
        <v/>
      </c>
      <c r="K65" s="25" t="str">
        <f>IF(ISBLANK(Etiket[[#This Row],[En]]),"",SUMIF(Etiket[Adı Soyadı],Etiket[[#This Row],[Adı Soyadı]],Etiket[TUTAR]))</f>
        <v/>
      </c>
    </row>
    <row r="66" spans="2:11" ht="15.6" thickTop="1" thickBot="1" x14ac:dyDescent="0.35">
      <c r="B66" s="21" t="str">
        <f>IF(ISBLANK(C66),"",SUBTOTAL(3, $C$3:C66))</f>
        <v/>
      </c>
      <c r="C66" s="35"/>
      <c r="D66" s="22"/>
      <c r="E66" s="23"/>
      <c r="F66" s="23"/>
      <c r="G66" s="23"/>
      <c r="H66" s="26" t="str">
        <f>IF(ISBLANK(Etiket[[#This Row],[En]]),"",Etiket[[#This Row],[ADET]]*Etiket[[#This Row],[En]]*2/100)</f>
        <v/>
      </c>
      <c r="I66" s="24" t="str">
        <f>IF(ISBLANK(Etiket[[#This Row],[En]]),"",İşçilikler!$C$3)</f>
        <v/>
      </c>
      <c r="J66" s="24" t="str">
        <f>IF(ISBLANK(Etiket[[#This Row],[En]]),"",H66*I66)</f>
        <v/>
      </c>
      <c r="K66" s="25" t="str">
        <f>IF(ISBLANK(Etiket[[#This Row],[En]]),"",SUMIF(Etiket[Adı Soyadı],Etiket[[#This Row],[Adı Soyadı]],Etiket[TUTAR]))</f>
        <v/>
      </c>
    </row>
    <row r="67" spans="2:11" ht="15.6" thickTop="1" thickBot="1" x14ac:dyDescent="0.35">
      <c r="B67" s="21" t="str">
        <f>IF(ISBLANK(C67),"",SUBTOTAL(3, $C$3:C67))</f>
        <v/>
      </c>
      <c r="C67" s="35"/>
      <c r="D67" s="22"/>
      <c r="E67" s="23"/>
      <c r="F67" s="23"/>
      <c r="G67" s="23"/>
      <c r="H67" s="26" t="str">
        <f>IF(ISBLANK(Etiket[[#This Row],[En]]),"",Etiket[[#This Row],[ADET]]*Etiket[[#This Row],[En]]*2/100)</f>
        <v/>
      </c>
      <c r="I67" s="24" t="str">
        <f>IF(ISBLANK(Etiket[[#This Row],[En]]),"",İşçilikler!$C$3)</f>
        <v/>
      </c>
      <c r="J67" s="24" t="str">
        <f>IF(ISBLANK(Etiket[[#This Row],[En]]),"",H67*I67)</f>
        <v/>
      </c>
      <c r="K67" s="25" t="str">
        <f>IF(ISBLANK(Etiket[[#This Row],[En]]),"",SUMIF(Etiket[Adı Soyadı],Etiket[[#This Row],[Adı Soyadı]],Etiket[TUTAR]))</f>
        <v/>
      </c>
    </row>
    <row r="68" spans="2:11" ht="15.6" thickTop="1" thickBot="1" x14ac:dyDescent="0.35">
      <c r="B68" s="21" t="str">
        <f>IF(ISBLANK(C68),"",SUBTOTAL(3, $C$3:C68))</f>
        <v/>
      </c>
      <c r="C68" s="35"/>
      <c r="D68" s="22"/>
      <c r="E68" s="23"/>
      <c r="F68" s="23"/>
      <c r="G68" s="23"/>
      <c r="H68" s="26" t="str">
        <f>IF(ISBLANK(Etiket[[#This Row],[En]]),"",Etiket[[#This Row],[ADET]]*Etiket[[#This Row],[En]]*2/100)</f>
        <v/>
      </c>
      <c r="I68" s="24" t="str">
        <f>IF(ISBLANK(Etiket[[#This Row],[En]]),"",İşçilikler!$C$3)</f>
        <v/>
      </c>
      <c r="J68" s="24" t="str">
        <f>IF(ISBLANK(Etiket[[#This Row],[En]]),"",H68*I68)</f>
        <v/>
      </c>
      <c r="K68" s="25" t="str">
        <f>IF(ISBLANK(Etiket[[#This Row],[En]]),"",SUMIF(Etiket[Adı Soyadı],Etiket[[#This Row],[Adı Soyadı]],Etiket[TUTAR]))</f>
        <v/>
      </c>
    </row>
    <row r="69" spans="2:11" ht="15.6" thickTop="1" thickBot="1" x14ac:dyDescent="0.35">
      <c r="B69" s="21" t="str">
        <f>IF(ISBLANK(C69),"",SUBTOTAL(3, $C$3:C69))</f>
        <v/>
      </c>
      <c r="C69" s="35"/>
      <c r="D69" s="22"/>
      <c r="E69" s="23"/>
      <c r="F69" s="23"/>
      <c r="G69" s="23"/>
      <c r="H69" s="26" t="str">
        <f>IF(ISBLANK(Etiket[[#This Row],[En]]),"",Etiket[[#This Row],[ADET]]*Etiket[[#This Row],[En]]*2/100)</f>
        <v/>
      </c>
      <c r="I69" s="24" t="str">
        <f>IF(ISBLANK(Etiket[[#This Row],[En]]),"",İşçilikler!$C$3)</f>
        <v/>
      </c>
      <c r="J69" s="24" t="str">
        <f>IF(ISBLANK(Etiket[[#This Row],[En]]),"",H69*I69)</f>
        <v/>
      </c>
      <c r="K69" s="25" t="str">
        <f>IF(ISBLANK(Etiket[[#This Row],[En]]),"",SUMIF(Etiket[Adı Soyadı],Etiket[[#This Row],[Adı Soyadı]],Etiket[TUTAR]))</f>
        <v/>
      </c>
    </row>
    <row r="70" spans="2:11" ht="15.6" thickTop="1" thickBot="1" x14ac:dyDescent="0.35">
      <c r="B70" s="21" t="str">
        <f>IF(ISBLANK(C70),"",SUBTOTAL(3, $C$3:C70))</f>
        <v/>
      </c>
      <c r="C70" s="35"/>
      <c r="D70" s="22"/>
      <c r="E70" s="23"/>
      <c r="F70" s="23"/>
      <c r="G70" s="23"/>
      <c r="H70" s="26" t="str">
        <f>IF(ISBLANK(Etiket[[#This Row],[En]]),"",Etiket[[#This Row],[ADET]]*Etiket[[#This Row],[En]]*2/100)</f>
        <v/>
      </c>
      <c r="I70" s="24" t="str">
        <f>IF(ISBLANK(Etiket[[#This Row],[En]]),"",İşçilikler!$C$3)</f>
        <v/>
      </c>
      <c r="J70" s="24" t="str">
        <f>IF(ISBLANK(Etiket[[#This Row],[En]]),"",H70*I70)</f>
        <v/>
      </c>
      <c r="K70" s="25" t="str">
        <f>IF(ISBLANK(Etiket[[#This Row],[En]]),"",SUMIF(Etiket[Adı Soyadı],Etiket[[#This Row],[Adı Soyadı]],Etiket[TUTAR]))</f>
        <v/>
      </c>
    </row>
    <row r="71" spans="2:11" ht="15.6" thickTop="1" thickBot="1" x14ac:dyDescent="0.35">
      <c r="B71" s="21" t="str">
        <f>IF(ISBLANK(C71),"",SUBTOTAL(3, $C$3:C71))</f>
        <v/>
      </c>
      <c r="C71" s="35"/>
      <c r="D71" s="22"/>
      <c r="E71" s="23"/>
      <c r="F71" s="23"/>
      <c r="G71" s="23"/>
      <c r="H71" s="26" t="str">
        <f>IF(ISBLANK(Etiket[[#This Row],[En]]),"",Etiket[[#This Row],[ADET]]*Etiket[[#This Row],[En]]*2/100)</f>
        <v/>
      </c>
      <c r="I71" s="24" t="str">
        <f>IF(ISBLANK(Etiket[[#This Row],[En]]),"",İşçilikler!$C$3)</f>
        <v/>
      </c>
      <c r="J71" s="24" t="str">
        <f>IF(ISBLANK(Etiket[[#This Row],[En]]),"",H71*I71)</f>
        <v/>
      </c>
      <c r="K71" s="25" t="str">
        <f>IF(ISBLANK(Etiket[[#This Row],[En]]),"",SUMIF(Etiket[Adı Soyadı],Etiket[[#This Row],[Adı Soyadı]],Etiket[TUTAR]))</f>
        <v/>
      </c>
    </row>
    <row r="72" spans="2:11" ht="15.6" thickTop="1" thickBot="1" x14ac:dyDescent="0.35">
      <c r="B72" s="21" t="str">
        <f>IF(ISBLANK(C72),"",SUBTOTAL(3, $C$3:C72))</f>
        <v/>
      </c>
      <c r="C72" s="35"/>
      <c r="D72" s="22"/>
      <c r="E72" s="23"/>
      <c r="F72" s="23"/>
      <c r="G72" s="23"/>
      <c r="H72" s="26" t="str">
        <f>IF(ISBLANK(Etiket[[#This Row],[En]]),"",Etiket[[#This Row],[ADET]]*Etiket[[#This Row],[En]]*2/100)</f>
        <v/>
      </c>
      <c r="I72" s="24" t="str">
        <f>IF(ISBLANK(Etiket[[#This Row],[En]]),"",İşçilikler!$C$3)</f>
        <v/>
      </c>
      <c r="J72" s="24" t="str">
        <f>IF(ISBLANK(Etiket[[#This Row],[En]]),"",H72*I72)</f>
        <v/>
      </c>
      <c r="K72" s="25" t="str">
        <f>IF(ISBLANK(Etiket[[#This Row],[En]]),"",SUMIF(Etiket[Adı Soyadı],Etiket[[#This Row],[Adı Soyadı]],Etiket[TUTAR]))</f>
        <v/>
      </c>
    </row>
    <row r="73" spans="2:11" ht="15.6" thickTop="1" thickBot="1" x14ac:dyDescent="0.35">
      <c r="B73" s="21" t="str">
        <f>IF(ISBLANK(C73),"",SUBTOTAL(3, $C$3:C73))</f>
        <v/>
      </c>
      <c r="C73" s="35"/>
      <c r="D73" s="22"/>
      <c r="E73" s="23"/>
      <c r="F73" s="23"/>
      <c r="G73" s="23"/>
      <c r="H73" s="26" t="str">
        <f>IF(ISBLANK(Etiket[[#This Row],[En]]),"",Etiket[[#This Row],[ADET]]*Etiket[[#This Row],[En]]*2/100)</f>
        <v/>
      </c>
      <c r="I73" s="24" t="str">
        <f>IF(ISBLANK(Etiket[[#This Row],[En]]),"",İşçilikler!$C$3)</f>
        <v/>
      </c>
      <c r="J73" s="24" t="str">
        <f>IF(ISBLANK(Etiket[[#This Row],[En]]),"",H73*I73)</f>
        <v/>
      </c>
      <c r="K73" s="25" t="str">
        <f>IF(ISBLANK(Etiket[[#This Row],[En]]),"",SUMIF(Etiket[Adı Soyadı],Etiket[[#This Row],[Adı Soyadı]],Etiket[TUTAR]))</f>
        <v/>
      </c>
    </row>
    <row r="74" spans="2:11" ht="15.6" thickTop="1" thickBot="1" x14ac:dyDescent="0.35">
      <c r="B74" s="21" t="str">
        <f>IF(ISBLANK(C74),"",SUBTOTAL(3, $C$3:C74))</f>
        <v/>
      </c>
      <c r="C74" s="35"/>
      <c r="D74" s="22"/>
      <c r="E74" s="23"/>
      <c r="F74" s="23"/>
      <c r="G74" s="23"/>
      <c r="H74" s="26" t="str">
        <f>IF(ISBLANK(Etiket[[#This Row],[En]]),"",Etiket[[#This Row],[ADET]]*Etiket[[#This Row],[En]]*2/100)</f>
        <v/>
      </c>
      <c r="I74" s="24" t="str">
        <f>IF(ISBLANK(Etiket[[#This Row],[En]]),"",İşçilikler!$C$3)</f>
        <v/>
      </c>
      <c r="J74" s="24" t="str">
        <f>IF(ISBLANK(Etiket[[#This Row],[En]]),"",H74*I74)</f>
        <v/>
      </c>
      <c r="K74" s="25" t="str">
        <f>IF(ISBLANK(Etiket[[#This Row],[En]]),"",SUMIF(Etiket[Adı Soyadı],Etiket[[#This Row],[Adı Soyadı]],Etiket[TUTAR]))</f>
        <v/>
      </c>
    </row>
    <row r="75" spans="2:11" ht="15.6" thickTop="1" thickBot="1" x14ac:dyDescent="0.35">
      <c r="B75" s="21" t="str">
        <f>IF(ISBLANK(C75),"",SUBTOTAL(3, $C$3:C75))</f>
        <v/>
      </c>
      <c r="C75" s="35"/>
      <c r="D75" s="22"/>
      <c r="E75" s="23"/>
      <c r="F75" s="23"/>
      <c r="G75" s="23"/>
      <c r="H75" s="26" t="str">
        <f>IF(ISBLANK(Etiket[[#This Row],[En]]),"",Etiket[[#This Row],[ADET]]*Etiket[[#This Row],[En]]*2/100)</f>
        <v/>
      </c>
      <c r="I75" s="24" t="str">
        <f>IF(ISBLANK(Etiket[[#This Row],[En]]),"",İşçilikler!$C$3)</f>
        <v/>
      </c>
      <c r="J75" s="24" t="str">
        <f>IF(ISBLANK(Etiket[[#This Row],[En]]),"",H75*I75)</f>
        <v/>
      </c>
      <c r="K75" s="25" t="str">
        <f>IF(ISBLANK(Etiket[[#This Row],[En]]),"",SUMIF(Etiket[Adı Soyadı],Etiket[[#This Row],[Adı Soyadı]],Etiket[TUTAR]))</f>
        <v/>
      </c>
    </row>
    <row r="76" spans="2:11" ht="15.6" thickTop="1" thickBot="1" x14ac:dyDescent="0.35">
      <c r="B76" s="21" t="str">
        <f>IF(ISBLANK(C76),"",SUBTOTAL(3, $C$3:C76))</f>
        <v/>
      </c>
      <c r="C76" s="35"/>
      <c r="D76" s="22"/>
      <c r="E76" s="23"/>
      <c r="F76" s="23"/>
      <c r="G76" s="23"/>
      <c r="H76" s="26" t="str">
        <f>IF(ISBLANK(Etiket[[#This Row],[En]]),"",Etiket[[#This Row],[ADET]]*Etiket[[#This Row],[En]]*2/100)</f>
        <v/>
      </c>
      <c r="I76" s="24" t="str">
        <f>IF(ISBLANK(Etiket[[#This Row],[En]]),"",İşçilikler!$C$3)</f>
        <v/>
      </c>
      <c r="J76" s="24" t="str">
        <f>IF(ISBLANK(Etiket[[#This Row],[En]]),"",H76*I76)</f>
        <v/>
      </c>
      <c r="K76" s="25" t="str">
        <f>IF(ISBLANK(Etiket[[#This Row],[En]]),"",SUMIF(Etiket[Adı Soyadı],Etiket[[#This Row],[Adı Soyadı]],Etiket[TUTAR]))</f>
        <v/>
      </c>
    </row>
    <row r="77" spans="2:11" ht="15.6" thickTop="1" thickBot="1" x14ac:dyDescent="0.35">
      <c r="B77" s="21" t="str">
        <f>IF(ISBLANK(C77),"",SUBTOTAL(3, $C$3:C77))</f>
        <v/>
      </c>
      <c r="C77" s="35"/>
      <c r="D77" s="22"/>
      <c r="E77" s="23"/>
      <c r="F77" s="23"/>
      <c r="G77" s="23"/>
      <c r="H77" s="26" t="str">
        <f>IF(ISBLANK(Etiket[[#This Row],[En]]),"",Etiket[[#This Row],[ADET]]*Etiket[[#This Row],[En]]*2/100)</f>
        <v/>
      </c>
      <c r="I77" s="24" t="str">
        <f>IF(ISBLANK(Etiket[[#This Row],[En]]),"",İşçilikler!$C$3)</f>
        <v/>
      </c>
      <c r="J77" s="24" t="str">
        <f>IF(ISBLANK(Etiket[[#This Row],[En]]),"",H77*I77)</f>
        <v/>
      </c>
      <c r="K77" s="25" t="str">
        <f>IF(ISBLANK(Etiket[[#This Row],[En]]),"",SUMIF(Etiket[Adı Soyadı],Etiket[[#This Row],[Adı Soyadı]],Etiket[TUTAR]))</f>
        <v/>
      </c>
    </row>
    <row r="78" spans="2:11" ht="15.6" thickTop="1" thickBot="1" x14ac:dyDescent="0.35">
      <c r="B78" s="21" t="str">
        <f>IF(ISBLANK(C78),"",SUBTOTAL(3, $C$3:C78))</f>
        <v/>
      </c>
      <c r="C78" s="35"/>
      <c r="D78" s="22"/>
      <c r="E78" s="23"/>
      <c r="F78" s="23"/>
      <c r="G78" s="23"/>
      <c r="H78" s="26" t="str">
        <f>IF(ISBLANK(Etiket[[#This Row],[En]]),"",Etiket[[#This Row],[ADET]]*Etiket[[#This Row],[En]]*2/100)</f>
        <v/>
      </c>
      <c r="I78" s="24" t="str">
        <f>IF(ISBLANK(Etiket[[#This Row],[En]]),"",İşçilikler!$C$3)</f>
        <v/>
      </c>
      <c r="J78" s="24" t="str">
        <f>IF(ISBLANK(Etiket[[#This Row],[En]]),"",H78*I78)</f>
        <v/>
      </c>
      <c r="K78" s="25" t="str">
        <f>IF(ISBLANK(Etiket[[#This Row],[En]]),"",SUMIF(Etiket[Adı Soyadı],Etiket[[#This Row],[Adı Soyadı]],Etiket[TUTAR]))</f>
        <v/>
      </c>
    </row>
    <row r="79" spans="2:11" ht="15.6" thickTop="1" thickBot="1" x14ac:dyDescent="0.35">
      <c r="B79" s="21" t="str">
        <f>IF(ISBLANK(C79),"",SUBTOTAL(3, $C$3:C79))</f>
        <v/>
      </c>
      <c r="C79" s="35"/>
      <c r="D79" s="22"/>
      <c r="E79" s="23"/>
      <c r="F79" s="23"/>
      <c r="G79" s="23"/>
      <c r="H79" s="26" t="str">
        <f>IF(ISBLANK(Etiket[[#This Row],[En]]),"",Etiket[[#This Row],[ADET]]*Etiket[[#This Row],[En]]*2/100)</f>
        <v/>
      </c>
      <c r="I79" s="24" t="str">
        <f>IF(ISBLANK(Etiket[[#This Row],[En]]),"",İşçilikler!$C$3)</f>
        <v/>
      </c>
      <c r="J79" s="24" t="str">
        <f>IF(ISBLANK(Etiket[[#This Row],[En]]),"",H79*I79)</f>
        <v/>
      </c>
      <c r="K79" s="25" t="str">
        <f>IF(ISBLANK(Etiket[[#This Row],[En]]),"",SUMIF(Etiket[Adı Soyadı],Etiket[[#This Row],[Adı Soyadı]],Etiket[TUTAR]))</f>
        <v/>
      </c>
    </row>
    <row r="80" spans="2:11" ht="15.6" thickTop="1" thickBot="1" x14ac:dyDescent="0.35">
      <c r="B80" s="21" t="str">
        <f>IF(ISBLANK(C80),"",SUBTOTAL(3, $C$3:C80))</f>
        <v/>
      </c>
      <c r="C80" s="35"/>
      <c r="D80" s="22"/>
      <c r="E80" s="23"/>
      <c r="F80" s="23"/>
      <c r="G80" s="23"/>
      <c r="H80" s="26" t="str">
        <f>IF(ISBLANK(Etiket[[#This Row],[En]]),"",Etiket[[#This Row],[ADET]]*Etiket[[#This Row],[En]]*2/100)</f>
        <v/>
      </c>
      <c r="I80" s="24" t="str">
        <f>IF(ISBLANK(Etiket[[#This Row],[En]]),"",İşçilikler!$C$3)</f>
        <v/>
      </c>
      <c r="J80" s="24" t="str">
        <f>IF(ISBLANK(Etiket[[#This Row],[En]]),"",H80*I80)</f>
        <v/>
      </c>
      <c r="K80" s="25" t="str">
        <f>IF(ISBLANK(Etiket[[#This Row],[En]]),"",SUMIF(Etiket[Adı Soyadı],Etiket[[#This Row],[Adı Soyadı]],Etiket[TUTAR]))</f>
        <v/>
      </c>
    </row>
    <row r="81" spans="2:11" ht="15.6" thickTop="1" thickBot="1" x14ac:dyDescent="0.35">
      <c r="B81" s="21" t="str">
        <f>IF(ISBLANK(C81),"",SUBTOTAL(3, $C$3:C81))</f>
        <v/>
      </c>
      <c r="C81" s="35"/>
      <c r="D81" s="22"/>
      <c r="E81" s="23"/>
      <c r="F81" s="23"/>
      <c r="G81" s="23"/>
      <c r="H81" s="26" t="str">
        <f>IF(ISBLANK(Etiket[[#This Row],[En]]),"",Etiket[[#This Row],[ADET]]*Etiket[[#This Row],[En]]*2/100)</f>
        <v/>
      </c>
      <c r="I81" s="24" t="str">
        <f>IF(ISBLANK(Etiket[[#This Row],[En]]),"",İşçilikler!$C$3)</f>
        <v/>
      </c>
      <c r="J81" s="24" t="str">
        <f>IF(ISBLANK(Etiket[[#This Row],[En]]),"",H81*I81)</f>
        <v/>
      </c>
      <c r="K81" s="25" t="str">
        <f>IF(ISBLANK(Etiket[[#This Row],[En]]),"",SUMIF(Etiket[Adı Soyadı],Etiket[[#This Row],[Adı Soyadı]],Etiket[TUTAR]))</f>
        <v/>
      </c>
    </row>
    <row r="82" spans="2:11" ht="15.6" thickTop="1" thickBot="1" x14ac:dyDescent="0.35">
      <c r="B82" s="21" t="str">
        <f>IF(ISBLANK(C82),"",SUBTOTAL(3, $C$3:C82))</f>
        <v/>
      </c>
      <c r="C82" s="35"/>
      <c r="D82" s="22"/>
      <c r="E82" s="23"/>
      <c r="F82" s="23"/>
      <c r="G82" s="23"/>
      <c r="H82" s="26" t="str">
        <f>IF(ISBLANK(Etiket[[#This Row],[En]]),"",Etiket[[#This Row],[ADET]]*Etiket[[#This Row],[En]]*2/100)</f>
        <v/>
      </c>
      <c r="I82" s="24" t="str">
        <f>IF(ISBLANK(Etiket[[#This Row],[En]]),"",İşçilikler!$C$3)</f>
        <v/>
      </c>
      <c r="J82" s="24" t="str">
        <f>IF(ISBLANK(Etiket[[#This Row],[En]]),"",H82*I82)</f>
        <v/>
      </c>
      <c r="K82" s="25" t="str">
        <f>IF(ISBLANK(Etiket[[#This Row],[En]]),"",SUMIF(Etiket[Adı Soyadı],Etiket[[#This Row],[Adı Soyadı]],Etiket[TUTAR]))</f>
        <v/>
      </c>
    </row>
    <row r="83" spans="2:11" ht="15.6" thickTop="1" thickBot="1" x14ac:dyDescent="0.35">
      <c r="B83" s="21" t="str">
        <f>IF(ISBLANK(C83),"",SUBTOTAL(3, $C$3:C83))</f>
        <v/>
      </c>
      <c r="C83" s="35"/>
      <c r="D83" s="22"/>
      <c r="E83" s="23"/>
      <c r="F83" s="23"/>
      <c r="G83" s="23"/>
      <c r="H83" s="26" t="str">
        <f>IF(ISBLANK(Etiket[[#This Row],[En]]),"",Etiket[[#This Row],[ADET]]*Etiket[[#This Row],[En]]*2/100)</f>
        <v/>
      </c>
      <c r="I83" s="24" t="str">
        <f>IF(ISBLANK(Etiket[[#This Row],[En]]),"",İşçilikler!$C$3)</f>
        <v/>
      </c>
      <c r="J83" s="24" t="str">
        <f>IF(ISBLANK(Etiket[[#This Row],[En]]),"",H83*I83)</f>
        <v/>
      </c>
      <c r="K83" s="25" t="str">
        <f>IF(ISBLANK(Etiket[[#This Row],[En]]),"",SUMIF(Etiket[Adı Soyadı],Etiket[[#This Row],[Adı Soyadı]],Etiket[TUTAR]))</f>
        <v/>
      </c>
    </row>
    <row r="84" spans="2:11" ht="15.6" thickTop="1" thickBot="1" x14ac:dyDescent="0.35">
      <c r="B84" s="21" t="str">
        <f>IF(ISBLANK(C84),"",SUBTOTAL(3, $C$3:C84))</f>
        <v/>
      </c>
      <c r="C84" s="35"/>
      <c r="D84" s="22"/>
      <c r="E84" s="23"/>
      <c r="F84" s="23"/>
      <c r="G84" s="23"/>
      <c r="H84" s="26" t="str">
        <f>IF(ISBLANK(Etiket[[#This Row],[En]]),"",Etiket[[#This Row],[ADET]]*Etiket[[#This Row],[En]]*2/100)</f>
        <v/>
      </c>
      <c r="I84" s="24" t="str">
        <f>IF(ISBLANK(Etiket[[#This Row],[En]]),"",İşçilikler!$C$3)</f>
        <v/>
      </c>
      <c r="J84" s="24" t="str">
        <f>IF(ISBLANK(Etiket[[#This Row],[En]]),"",H84*I84)</f>
        <v/>
      </c>
      <c r="K84" s="25" t="str">
        <f>IF(ISBLANK(Etiket[[#This Row],[En]]),"",SUMIF(Etiket[Adı Soyadı],Etiket[[#This Row],[Adı Soyadı]],Etiket[TUTAR]))</f>
        <v/>
      </c>
    </row>
    <row r="85" spans="2:11" ht="15.6" thickTop="1" thickBot="1" x14ac:dyDescent="0.35">
      <c r="B85" s="21" t="str">
        <f>IF(ISBLANK(C85),"",SUBTOTAL(3, $C$3:C85))</f>
        <v/>
      </c>
      <c r="C85" s="35"/>
      <c r="D85" s="22"/>
      <c r="E85" s="23"/>
      <c r="F85" s="23"/>
      <c r="G85" s="23"/>
      <c r="H85" s="26" t="str">
        <f>IF(ISBLANK(Etiket[[#This Row],[En]]),"",Etiket[[#This Row],[ADET]]*Etiket[[#This Row],[En]]*2/100)</f>
        <v/>
      </c>
      <c r="I85" s="24" t="str">
        <f>IF(ISBLANK(Etiket[[#This Row],[En]]),"",İşçilikler!$C$3)</f>
        <v/>
      </c>
      <c r="J85" s="24" t="str">
        <f>IF(ISBLANK(Etiket[[#This Row],[En]]),"",H85*I85)</f>
        <v/>
      </c>
      <c r="K85" s="25" t="str">
        <f>IF(ISBLANK(Etiket[[#This Row],[En]]),"",SUMIF(Etiket[Adı Soyadı],Etiket[[#This Row],[Adı Soyadı]],Etiket[TUTAR]))</f>
        <v/>
      </c>
    </row>
    <row r="86" spans="2:11" ht="15.6" thickTop="1" thickBot="1" x14ac:dyDescent="0.35">
      <c r="B86" s="21" t="str">
        <f>IF(ISBLANK(C86),"",SUBTOTAL(3, $C$3:C86))</f>
        <v/>
      </c>
      <c r="C86" s="35"/>
      <c r="D86" s="22"/>
      <c r="E86" s="23"/>
      <c r="F86" s="23"/>
      <c r="G86" s="23"/>
      <c r="H86" s="26" t="str">
        <f>IF(ISBLANK(Etiket[[#This Row],[En]]),"",Etiket[[#This Row],[ADET]]*Etiket[[#This Row],[En]]*2/100)</f>
        <v/>
      </c>
      <c r="I86" s="24" t="str">
        <f>IF(ISBLANK(Etiket[[#This Row],[En]]),"",İşçilikler!$C$3)</f>
        <v/>
      </c>
      <c r="J86" s="24" t="str">
        <f>IF(ISBLANK(Etiket[[#This Row],[En]]),"",H86*I86)</f>
        <v/>
      </c>
      <c r="K86" s="25" t="str">
        <f>IF(ISBLANK(Etiket[[#This Row],[En]]),"",SUMIF(Etiket[Adı Soyadı],Etiket[[#This Row],[Adı Soyadı]],Etiket[TUTAR]))</f>
        <v/>
      </c>
    </row>
    <row r="87" spans="2:11" ht="15.6" thickTop="1" thickBot="1" x14ac:dyDescent="0.35">
      <c r="B87" s="21" t="str">
        <f>IF(ISBLANK(C87),"",SUBTOTAL(3, $C$3:C87))</f>
        <v/>
      </c>
      <c r="C87" s="35"/>
      <c r="D87" s="22"/>
      <c r="E87" s="23"/>
      <c r="F87" s="23"/>
      <c r="G87" s="23"/>
      <c r="H87" s="26" t="str">
        <f>IF(ISBLANK(Etiket[[#This Row],[En]]),"",Etiket[[#This Row],[ADET]]*Etiket[[#This Row],[En]]*2/100)</f>
        <v/>
      </c>
      <c r="I87" s="24" t="str">
        <f>IF(ISBLANK(Etiket[[#This Row],[En]]),"",İşçilikler!$C$3)</f>
        <v/>
      </c>
      <c r="J87" s="24" t="str">
        <f>IF(ISBLANK(Etiket[[#This Row],[En]]),"",H87*I87)</f>
        <v/>
      </c>
      <c r="K87" s="25" t="str">
        <f>IF(ISBLANK(Etiket[[#This Row],[En]]),"",SUMIF(Etiket[Adı Soyadı],Etiket[[#This Row],[Adı Soyadı]],Etiket[TUTAR]))</f>
        <v/>
      </c>
    </row>
    <row r="88" spans="2:11" ht="15.6" thickTop="1" thickBot="1" x14ac:dyDescent="0.35">
      <c r="B88" s="21" t="str">
        <f>IF(ISBLANK(C88),"",SUBTOTAL(3, $C$3:C88))</f>
        <v/>
      </c>
      <c r="C88" s="35"/>
      <c r="D88" s="22"/>
      <c r="E88" s="23"/>
      <c r="F88" s="23"/>
      <c r="G88" s="23"/>
      <c r="H88" s="26" t="str">
        <f>IF(ISBLANK(Etiket[[#This Row],[En]]),"",Etiket[[#This Row],[ADET]]*Etiket[[#This Row],[En]]*2/100)</f>
        <v/>
      </c>
      <c r="I88" s="24" t="str">
        <f>IF(ISBLANK(Etiket[[#This Row],[En]]),"",İşçilikler!$C$3)</f>
        <v/>
      </c>
      <c r="J88" s="24" t="str">
        <f>IF(ISBLANK(Etiket[[#This Row],[En]]),"",H88*I88)</f>
        <v/>
      </c>
      <c r="K88" s="25" t="str">
        <f>IF(ISBLANK(Etiket[[#This Row],[En]]),"",SUMIF(Etiket[Adı Soyadı],Etiket[[#This Row],[Adı Soyadı]],Etiket[TUTAR]))</f>
        <v/>
      </c>
    </row>
    <row r="89" spans="2:11" ht="15.6" thickTop="1" thickBot="1" x14ac:dyDescent="0.35">
      <c r="B89" s="21" t="str">
        <f>IF(ISBLANK(C89),"",SUBTOTAL(3, $C$3:C89))</f>
        <v/>
      </c>
      <c r="C89" s="35"/>
      <c r="D89" s="22"/>
      <c r="E89" s="23"/>
      <c r="F89" s="23"/>
      <c r="G89" s="23"/>
      <c r="H89" s="26" t="str">
        <f>IF(ISBLANK(Etiket[[#This Row],[En]]),"",Etiket[[#This Row],[ADET]]*Etiket[[#This Row],[En]]*2/100)</f>
        <v/>
      </c>
      <c r="I89" s="24" t="str">
        <f>IF(ISBLANK(Etiket[[#This Row],[En]]),"",İşçilikler!$C$3)</f>
        <v/>
      </c>
      <c r="J89" s="24" t="str">
        <f>IF(ISBLANK(Etiket[[#This Row],[En]]),"",H89*I89)</f>
        <v/>
      </c>
      <c r="K89" s="25" t="str">
        <f>IF(ISBLANK(Etiket[[#This Row],[En]]),"",SUMIF(Etiket[Adı Soyadı],Etiket[[#This Row],[Adı Soyadı]],Etiket[TUTAR]))</f>
        <v/>
      </c>
    </row>
    <row r="90" spans="2:11" ht="15.6" thickTop="1" thickBot="1" x14ac:dyDescent="0.35">
      <c r="B90" s="21" t="str">
        <f>IF(ISBLANK(C90),"",SUBTOTAL(3, $C$3:C90))</f>
        <v/>
      </c>
      <c r="C90" s="35"/>
      <c r="D90" s="22"/>
      <c r="E90" s="23"/>
      <c r="F90" s="23"/>
      <c r="G90" s="23"/>
      <c r="H90" s="26" t="str">
        <f>IF(ISBLANK(Etiket[[#This Row],[En]]),"",Etiket[[#This Row],[ADET]]*Etiket[[#This Row],[En]]*2/100)</f>
        <v/>
      </c>
      <c r="I90" s="24" t="str">
        <f>IF(ISBLANK(Etiket[[#This Row],[En]]),"",İşçilikler!$C$3)</f>
        <v/>
      </c>
      <c r="J90" s="24" t="str">
        <f>IF(ISBLANK(Etiket[[#This Row],[En]]),"",H90*I90)</f>
        <v/>
      </c>
      <c r="K90" s="25" t="str">
        <f>IF(ISBLANK(Etiket[[#This Row],[En]]),"",SUMIF(Etiket[Adı Soyadı],Etiket[[#This Row],[Adı Soyadı]],Etiket[TUTAR]))</f>
        <v/>
      </c>
    </row>
    <row r="91" spans="2:11" ht="15.6" thickTop="1" thickBot="1" x14ac:dyDescent="0.35">
      <c r="B91" s="21" t="str">
        <f>IF(ISBLANK(C91),"",SUBTOTAL(3, $C$3:C91))</f>
        <v/>
      </c>
      <c r="C91" s="35"/>
      <c r="D91" s="22"/>
      <c r="E91" s="23"/>
      <c r="F91" s="23"/>
      <c r="G91" s="23"/>
      <c r="H91" s="26" t="str">
        <f>IF(ISBLANK(Etiket[[#This Row],[En]]),"",Etiket[[#This Row],[ADET]]*Etiket[[#This Row],[En]]*2/100)</f>
        <v/>
      </c>
      <c r="I91" s="24" t="str">
        <f>IF(ISBLANK(Etiket[[#This Row],[En]]),"",İşçilikler!$C$3)</f>
        <v/>
      </c>
      <c r="J91" s="24" t="str">
        <f>IF(ISBLANK(Etiket[[#This Row],[En]]),"",H91*I91)</f>
        <v/>
      </c>
      <c r="K91" s="25" t="str">
        <f>IF(ISBLANK(Etiket[[#This Row],[En]]),"",SUMIF(Etiket[Adı Soyadı],Etiket[[#This Row],[Adı Soyadı]],Etiket[TUTAR]))</f>
        <v/>
      </c>
    </row>
    <row r="92" spans="2:11" ht="15.6" thickTop="1" thickBot="1" x14ac:dyDescent="0.35">
      <c r="B92" s="21" t="str">
        <f>IF(ISBLANK(C92),"",SUBTOTAL(3, $C$3:C92))</f>
        <v/>
      </c>
      <c r="C92" s="35"/>
      <c r="D92" s="22"/>
      <c r="E92" s="23"/>
      <c r="F92" s="23"/>
      <c r="G92" s="23"/>
      <c r="H92" s="26" t="str">
        <f>IF(ISBLANK(Etiket[[#This Row],[En]]),"",Etiket[[#This Row],[ADET]]*Etiket[[#This Row],[En]]*2/100)</f>
        <v/>
      </c>
      <c r="I92" s="24" t="str">
        <f>IF(ISBLANK(Etiket[[#This Row],[En]]),"",İşçilikler!$C$3)</f>
        <v/>
      </c>
      <c r="J92" s="24" t="str">
        <f>IF(ISBLANK(Etiket[[#This Row],[En]]),"",H92*I92)</f>
        <v/>
      </c>
      <c r="K92" s="25" t="str">
        <f>IF(ISBLANK(Etiket[[#This Row],[En]]),"",SUMIF(Etiket[Adı Soyadı],Etiket[[#This Row],[Adı Soyadı]],Etiket[TUTAR]))</f>
        <v/>
      </c>
    </row>
    <row r="93" spans="2:11" ht="15.6" thickTop="1" thickBot="1" x14ac:dyDescent="0.35">
      <c r="B93" s="21" t="str">
        <f>IF(ISBLANK(C93),"",SUBTOTAL(3, $C$3:C93))</f>
        <v/>
      </c>
      <c r="C93" s="35"/>
      <c r="D93" s="22"/>
      <c r="E93" s="23"/>
      <c r="F93" s="23"/>
      <c r="G93" s="23"/>
      <c r="H93" s="26" t="str">
        <f>IF(ISBLANK(Etiket[[#This Row],[En]]),"",Etiket[[#This Row],[ADET]]*Etiket[[#This Row],[En]]*2/100)</f>
        <v/>
      </c>
      <c r="I93" s="24" t="str">
        <f>IF(ISBLANK(Etiket[[#This Row],[En]]),"",İşçilikler!$C$3)</f>
        <v/>
      </c>
      <c r="J93" s="24" t="str">
        <f>IF(ISBLANK(Etiket[[#This Row],[En]]),"",H93*I93)</f>
        <v/>
      </c>
      <c r="K93" s="25" t="str">
        <f>IF(ISBLANK(Etiket[[#This Row],[En]]),"",SUMIF(Etiket[Adı Soyadı],Etiket[[#This Row],[Adı Soyadı]],Etiket[TUTAR]))</f>
        <v/>
      </c>
    </row>
    <row r="94" spans="2:11" ht="15.6" thickTop="1" thickBot="1" x14ac:dyDescent="0.35">
      <c r="B94" s="21" t="str">
        <f>IF(ISBLANK(C94),"",SUBTOTAL(3, $C$3:C94))</f>
        <v/>
      </c>
      <c r="C94" s="35"/>
      <c r="D94" s="22"/>
      <c r="E94" s="23"/>
      <c r="F94" s="23"/>
      <c r="G94" s="23"/>
      <c r="H94" s="26" t="str">
        <f>IF(ISBLANK(Etiket[[#This Row],[En]]),"",Etiket[[#This Row],[ADET]]*Etiket[[#This Row],[En]]*2/100)</f>
        <v/>
      </c>
      <c r="I94" s="24" t="str">
        <f>IF(ISBLANK(Etiket[[#This Row],[En]]),"",İşçilikler!$C$3)</f>
        <v/>
      </c>
      <c r="J94" s="24" t="str">
        <f>IF(ISBLANK(Etiket[[#This Row],[En]]),"",H94*I94)</f>
        <v/>
      </c>
      <c r="K94" s="25" t="str">
        <f>IF(ISBLANK(Etiket[[#This Row],[En]]),"",SUMIF(Etiket[Adı Soyadı],Etiket[[#This Row],[Adı Soyadı]],Etiket[TUTAR]))</f>
        <v/>
      </c>
    </row>
    <row r="95" spans="2:11" ht="15.6" thickTop="1" thickBot="1" x14ac:dyDescent="0.35">
      <c r="B95" s="21" t="str">
        <f>IF(ISBLANK(C95),"",SUBTOTAL(3, $C$3:C95))</f>
        <v/>
      </c>
      <c r="C95" s="35"/>
      <c r="D95" s="22"/>
      <c r="E95" s="23"/>
      <c r="F95" s="23"/>
      <c r="G95" s="23"/>
      <c r="H95" s="26" t="str">
        <f>IF(ISBLANK(Etiket[[#This Row],[En]]),"",Etiket[[#This Row],[ADET]]*Etiket[[#This Row],[En]]*2/100)</f>
        <v/>
      </c>
      <c r="I95" s="24" t="str">
        <f>IF(ISBLANK(Etiket[[#This Row],[En]]),"",İşçilikler!$C$3)</f>
        <v/>
      </c>
      <c r="J95" s="24" t="str">
        <f>IF(ISBLANK(Etiket[[#This Row],[En]]),"",H95*I95)</f>
        <v/>
      </c>
      <c r="K95" s="25" t="str">
        <f>IF(ISBLANK(Etiket[[#This Row],[En]]),"",SUMIF(Etiket[Adı Soyadı],Etiket[[#This Row],[Adı Soyadı]],Etiket[TUTAR]))</f>
        <v/>
      </c>
    </row>
    <row r="96" spans="2:11" ht="15.6" thickTop="1" thickBot="1" x14ac:dyDescent="0.35">
      <c r="B96" s="10" t="str">
        <f>IF(ISBLANK(C96),"",SUBTOTAL(3, $C$3:C96))</f>
        <v/>
      </c>
      <c r="C96" s="32"/>
      <c r="D96" s="22"/>
      <c r="E96" s="12"/>
      <c r="F96" s="12"/>
      <c r="G96" s="12"/>
      <c r="H96" s="28" t="str">
        <f>IF(ISBLANK(Etiket[[#This Row],[En]]),"",Etiket[[#This Row],[ADET]]*Etiket[[#This Row],[En]]*2/100)</f>
        <v/>
      </c>
      <c r="I96" s="24" t="str">
        <f>IF(ISBLANK(Etiket[[#This Row],[En]]),"",İşçilikler!$C$3)</f>
        <v/>
      </c>
      <c r="J96" s="24" t="str">
        <f>IF(ISBLANK(Etiket[[#This Row],[En]]),"",H96*I96)</f>
        <v/>
      </c>
      <c r="K96" s="13" t="str">
        <f>IF(ISBLANK(Etiket[[#This Row],[En]]),"",SUMIF(Etiket[Adı Soyadı],Etiket[[#This Row],[Adı Soyadı]],Etiket[TUTAR]))</f>
        <v/>
      </c>
    </row>
    <row r="97" spans="2:11" ht="15.6" thickTop="1" thickBot="1" x14ac:dyDescent="0.35">
      <c r="B97" s="1" t="str">
        <f>IF(ISBLANK(C97),"",SUBTOTAL(3, $C$3:C97))</f>
        <v/>
      </c>
      <c r="C97" s="33"/>
      <c r="D97" s="22"/>
      <c r="E97" s="6"/>
      <c r="F97" s="6"/>
      <c r="G97" s="6"/>
      <c r="H97" s="29" t="str">
        <f>IF(ISBLANK(Etiket[[#This Row],[En]]),"",Etiket[[#This Row],[ADET]]*Etiket[[#This Row],[En]]*2/100)</f>
        <v/>
      </c>
      <c r="I97" s="24" t="str">
        <f>IF(ISBLANK(Etiket[[#This Row],[En]]),"",İşçilikler!$C$3)</f>
        <v/>
      </c>
      <c r="J97" s="24" t="str">
        <f>IF(ISBLANK(Etiket[[#This Row],[En]]),"",H97*I97)</f>
        <v/>
      </c>
      <c r="K97" s="2" t="str">
        <f>IF(ISBLANK(Etiket[[#This Row],[En]]),"",SUMIF(Etiket[Adı Soyadı],Etiket[[#This Row],[Adı Soyadı]],Etiket[TUTAR]))</f>
        <v/>
      </c>
    </row>
    <row r="98" spans="2:11" ht="15.6" thickTop="1" thickBot="1" x14ac:dyDescent="0.35">
      <c r="B98" s="1" t="str">
        <f>IF(ISBLANK(C98),"",SUBTOTAL(3, $C$3:C98))</f>
        <v/>
      </c>
      <c r="C98" s="33"/>
      <c r="D98" s="22"/>
      <c r="E98" s="6"/>
      <c r="F98" s="6"/>
      <c r="G98" s="6"/>
      <c r="H98" s="29" t="str">
        <f>IF(ISBLANK(Etiket[[#This Row],[En]]),"",Etiket[[#This Row],[ADET]]*Etiket[[#This Row],[En]]*2/100)</f>
        <v/>
      </c>
      <c r="I98" s="24" t="str">
        <f>IF(ISBLANK(Etiket[[#This Row],[En]]),"",İşçilikler!$C$3)</f>
        <v/>
      </c>
      <c r="J98" s="24" t="str">
        <f>IF(ISBLANK(Etiket[[#This Row],[En]]),"",H98*I98)</f>
        <v/>
      </c>
      <c r="K98" s="2" t="str">
        <f>IF(ISBLANK(Etiket[[#This Row],[En]]),"",SUMIF(Etiket[Adı Soyadı],Etiket[[#This Row],[Adı Soyadı]],Etiket[TUTAR]))</f>
        <v/>
      </c>
    </row>
    <row r="99" spans="2:11" ht="15.6" thickTop="1" thickBot="1" x14ac:dyDescent="0.35">
      <c r="B99" s="1" t="str">
        <f>IF(ISBLANK(C99),"",SUBTOTAL(3, $C$3:C99))</f>
        <v/>
      </c>
      <c r="C99" s="33"/>
      <c r="D99" s="22"/>
      <c r="E99" s="6"/>
      <c r="F99" s="6"/>
      <c r="G99" s="6"/>
      <c r="H99" s="29" t="str">
        <f>IF(ISBLANK(Etiket[[#This Row],[En]]),"",Etiket[[#This Row],[ADET]]*Etiket[[#This Row],[En]]*2/100)</f>
        <v/>
      </c>
      <c r="I99" s="24" t="str">
        <f>IF(ISBLANK(Etiket[[#This Row],[En]]),"",İşçilikler!$C$3)</f>
        <v/>
      </c>
      <c r="J99" s="24" t="str">
        <f>IF(ISBLANK(Etiket[[#This Row],[En]]),"",H99*I99)</f>
        <v/>
      </c>
      <c r="K99" s="2" t="str">
        <f>IF(ISBLANK(Etiket[[#This Row],[En]]),"",SUMIF(Etiket[Adı Soyadı],Etiket[[#This Row],[Adı Soyadı]],Etiket[TUTAR]))</f>
        <v/>
      </c>
    </row>
    <row r="100" spans="2:11" ht="15.6" thickTop="1" thickBot="1" x14ac:dyDescent="0.35">
      <c r="B100" s="1" t="str">
        <f>IF(ISBLANK(C100),"",SUBTOTAL(3, $C$3:C100))</f>
        <v/>
      </c>
      <c r="C100" s="33"/>
      <c r="D100" s="22"/>
      <c r="E100" s="6"/>
      <c r="F100" s="6"/>
      <c r="G100" s="6"/>
      <c r="H100" s="29" t="str">
        <f>IF(ISBLANK(Etiket[[#This Row],[En]]),"",Etiket[[#This Row],[ADET]]*Etiket[[#This Row],[En]]*2/100)</f>
        <v/>
      </c>
      <c r="I100" s="24" t="str">
        <f>IF(ISBLANK(Etiket[[#This Row],[En]]),"",İşçilikler!$C$3)</f>
        <v/>
      </c>
      <c r="J100" s="24" t="str">
        <f>IF(ISBLANK(Etiket[[#This Row],[En]]),"",H100*I100)</f>
        <v/>
      </c>
      <c r="K100" s="2" t="str">
        <f>IF(ISBLANK(Etiket[[#This Row],[En]]),"",SUMIF(Etiket[Adı Soyadı],Etiket[[#This Row],[Adı Soyadı]],Etiket[TUTAR]))</f>
        <v/>
      </c>
    </row>
    <row r="101" spans="2:11" ht="15.6" thickTop="1" thickBot="1" x14ac:dyDescent="0.35">
      <c r="B101" s="1" t="str">
        <f>IF(ISBLANK(C101),"",SUBTOTAL(3, $C$3:C101))</f>
        <v/>
      </c>
      <c r="C101" s="33"/>
      <c r="D101" s="22"/>
      <c r="E101" s="6"/>
      <c r="F101" s="6"/>
      <c r="G101" s="6"/>
      <c r="H101" s="29" t="str">
        <f>IF(ISBLANK(Etiket[[#This Row],[En]]),"",Etiket[[#This Row],[ADET]]*Etiket[[#This Row],[En]]*2/100)</f>
        <v/>
      </c>
      <c r="I101" s="24" t="str">
        <f>IF(ISBLANK(Etiket[[#This Row],[En]]),"",İşçilikler!$C$3)</f>
        <v/>
      </c>
      <c r="J101" s="24" t="str">
        <f>IF(ISBLANK(Etiket[[#This Row],[En]]),"",H101*I101)</f>
        <v/>
      </c>
      <c r="K101" s="2" t="str">
        <f>IF(ISBLANK(Etiket[[#This Row],[En]]),"",SUMIF(Etiket[Adı Soyadı],Etiket[[#This Row],[Adı Soyadı]],Etiket[TUTAR]))</f>
        <v/>
      </c>
    </row>
    <row r="102" spans="2:11" ht="15.6" thickTop="1" thickBot="1" x14ac:dyDescent="0.35">
      <c r="B102" s="1" t="str">
        <f>IF(ISBLANK(C102),"",SUBTOTAL(3, $C$3:C102))</f>
        <v/>
      </c>
      <c r="C102" s="33"/>
      <c r="D102" s="22"/>
      <c r="E102" s="6"/>
      <c r="F102" s="6"/>
      <c r="G102" s="6"/>
      <c r="H102" s="29" t="str">
        <f>IF(ISBLANK(Etiket[[#This Row],[En]]),"",Etiket[[#This Row],[ADET]]*Etiket[[#This Row],[En]]*2/100)</f>
        <v/>
      </c>
      <c r="I102" s="24" t="str">
        <f>IF(ISBLANK(Etiket[[#This Row],[En]]),"",İşçilikler!$C$3)</f>
        <v/>
      </c>
      <c r="J102" s="24" t="str">
        <f>IF(ISBLANK(Etiket[[#This Row],[En]]),"",H102*I102)</f>
        <v/>
      </c>
      <c r="K102" s="2" t="str">
        <f>IF(ISBLANK(Etiket[[#This Row],[En]]),"",SUMIF(Etiket[Adı Soyadı],Etiket[[#This Row],[Adı Soyadı]],Etiket[TUTAR]))</f>
        <v/>
      </c>
    </row>
    <row r="103" spans="2:11" ht="15.6" thickTop="1" thickBot="1" x14ac:dyDescent="0.35">
      <c r="B103" s="1" t="str">
        <f>IF(ISBLANK(C103),"",SUBTOTAL(3, $C$3:C103))</f>
        <v/>
      </c>
      <c r="C103" s="33"/>
      <c r="D103" s="22"/>
      <c r="E103" s="6"/>
      <c r="F103" s="6"/>
      <c r="G103" s="6"/>
      <c r="H103" s="29" t="str">
        <f>IF(ISBLANK(Etiket[[#This Row],[En]]),"",Etiket[[#This Row],[ADET]]*Etiket[[#This Row],[En]]*2/100)</f>
        <v/>
      </c>
      <c r="I103" s="24" t="str">
        <f>IF(ISBLANK(Etiket[[#This Row],[En]]),"",İşçilikler!$C$3)</f>
        <v/>
      </c>
      <c r="J103" s="24" t="str">
        <f>IF(ISBLANK(Etiket[[#This Row],[En]]),"",H103*I103)</f>
        <v/>
      </c>
      <c r="K103" s="2" t="str">
        <f>IF(ISBLANK(Etiket[[#This Row],[En]]),"",SUMIF(Etiket[Adı Soyadı],Etiket[[#This Row],[Adı Soyadı]],Etiket[TUTAR]))</f>
        <v/>
      </c>
    </row>
    <row r="104" spans="2:11" ht="15.6" thickTop="1" thickBot="1" x14ac:dyDescent="0.35">
      <c r="B104" s="1" t="str">
        <f>IF(ISBLANK(C104),"",SUBTOTAL(3, $C$3:C104))</f>
        <v/>
      </c>
      <c r="C104" s="33"/>
      <c r="D104" s="22"/>
      <c r="E104" s="6"/>
      <c r="F104" s="6"/>
      <c r="G104" s="6"/>
      <c r="H104" s="29" t="str">
        <f>IF(ISBLANK(Etiket[[#This Row],[En]]),"",Etiket[[#This Row],[ADET]]*Etiket[[#This Row],[En]]*2/100)</f>
        <v/>
      </c>
      <c r="I104" s="24" t="str">
        <f>IF(ISBLANK(Etiket[[#This Row],[En]]),"",İşçilikler!$C$3)</f>
        <v/>
      </c>
      <c r="J104" s="24" t="str">
        <f>IF(ISBLANK(Etiket[[#This Row],[En]]),"",H104*I104)</f>
        <v/>
      </c>
      <c r="K104" s="2" t="str">
        <f>IF(ISBLANK(Etiket[[#This Row],[En]]),"",SUMIF(Etiket[Adı Soyadı],Etiket[[#This Row],[Adı Soyadı]],Etiket[TUTAR]))</f>
        <v/>
      </c>
    </row>
    <row r="105" spans="2:11" ht="15.6" thickTop="1" thickBot="1" x14ac:dyDescent="0.35">
      <c r="B105" s="1" t="str">
        <f>IF(ISBLANK(C105),"",SUBTOTAL(3, $C$3:C105))</f>
        <v/>
      </c>
      <c r="C105" s="33"/>
      <c r="D105" s="22"/>
      <c r="E105" s="6"/>
      <c r="F105" s="6"/>
      <c r="G105" s="6"/>
      <c r="H105" s="29" t="str">
        <f>IF(ISBLANK(Etiket[[#This Row],[En]]),"",Etiket[[#This Row],[ADET]]*Etiket[[#This Row],[En]]*2/100)</f>
        <v/>
      </c>
      <c r="I105" s="24" t="str">
        <f>IF(ISBLANK(Etiket[[#This Row],[En]]),"",İşçilikler!$C$3)</f>
        <v/>
      </c>
      <c r="J105" s="24" t="str">
        <f>IF(ISBLANK(Etiket[[#This Row],[En]]),"",H105*I105)</f>
        <v/>
      </c>
      <c r="K105" s="2" t="str">
        <f>IF(ISBLANK(Etiket[[#This Row],[En]]),"",SUMIF(Etiket[Adı Soyadı],Etiket[[#This Row],[Adı Soyadı]],Etiket[TUTAR]))</f>
        <v/>
      </c>
    </row>
    <row r="106" spans="2:11" ht="15.6" thickTop="1" thickBot="1" x14ac:dyDescent="0.35">
      <c r="B106" s="1" t="str">
        <f>IF(ISBLANK(C106),"",SUBTOTAL(3, $C$3:C106))</f>
        <v/>
      </c>
      <c r="C106" s="33"/>
      <c r="D106" s="22"/>
      <c r="E106" s="6"/>
      <c r="F106" s="6"/>
      <c r="G106" s="6"/>
      <c r="H106" s="29" t="str">
        <f>IF(ISBLANK(Etiket[[#This Row],[En]]),"",Etiket[[#This Row],[ADET]]*Etiket[[#This Row],[En]]*2/100)</f>
        <v/>
      </c>
      <c r="I106" s="24" t="str">
        <f>IF(ISBLANK(Etiket[[#This Row],[En]]),"",İşçilikler!$C$3)</f>
        <v/>
      </c>
      <c r="J106" s="24" t="str">
        <f>IF(ISBLANK(Etiket[[#This Row],[En]]),"",H106*I106)</f>
        <v/>
      </c>
      <c r="K106" s="2" t="str">
        <f>IF(ISBLANK(Etiket[[#This Row],[En]]),"",SUMIF(Etiket[Adı Soyadı],Etiket[[#This Row],[Adı Soyadı]],Etiket[TUTAR]))</f>
        <v/>
      </c>
    </row>
    <row r="107" spans="2:11" ht="15.6" thickTop="1" thickBot="1" x14ac:dyDescent="0.35">
      <c r="B107" s="1" t="str">
        <f>IF(ISBLANK(C107),"",SUBTOTAL(3, $C$3:C107))</f>
        <v/>
      </c>
      <c r="C107" s="33"/>
      <c r="D107" s="22"/>
      <c r="E107" s="6"/>
      <c r="F107" s="6"/>
      <c r="G107" s="6"/>
      <c r="H107" s="29" t="str">
        <f>IF(ISBLANK(Etiket[[#This Row],[En]]),"",Etiket[[#This Row],[ADET]]*Etiket[[#This Row],[En]]*2/100)</f>
        <v/>
      </c>
      <c r="I107" s="24" t="str">
        <f>IF(ISBLANK(Etiket[[#This Row],[En]]),"",İşçilikler!$C$3)</f>
        <v/>
      </c>
      <c r="J107" s="24" t="str">
        <f>IF(ISBLANK(Etiket[[#This Row],[En]]),"",H107*I107)</f>
        <v/>
      </c>
      <c r="K107" s="2" t="str">
        <f>IF(ISBLANK(Etiket[[#This Row],[En]]),"",SUMIF(Etiket[Adı Soyadı],Etiket[[#This Row],[Adı Soyadı]],Etiket[TUTAR]))</f>
        <v/>
      </c>
    </row>
    <row r="108" spans="2:11" ht="15.6" thickTop="1" thickBot="1" x14ac:dyDescent="0.35">
      <c r="B108" s="1" t="str">
        <f>IF(ISBLANK(C108),"",SUBTOTAL(3, $C$3:C108))</f>
        <v/>
      </c>
      <c r="C108" s="33"/>
      <c r="D108" s="22"/>
      <c r="E108" s="6"/>
      <c r="F108" s="6"/>
      <c r="G108" s="6"/>
      <c r="H108" s="29" t="str">
        <f>IF(ISBLANK(Etiket[[#This Row],[En]]),"",Etiket[[#This Row],[ADET]]*Etiket[[#This Row],[En]]*2/100)</f>
        <v/>
      </c>
      <c r="I108" s="24" t="str">
        <f>IF(ISBLANK(Etiket[[#This Row],[En]]),"",İşçilikler!$C$3)</f>
        <v/>
      </c>
      <c r="J108" s="24" t="str">
        <f>IF(ISBLANK(Etiket[[#This Row],[En]]),"",H108*I108)</f>
        <v/>
      </c>
      <c r="K108" s="2" t="str">
        <f>IF(ISBLANK(Etiket[[#This Row],[En]]),"",SUMIF(Etiket[Adı Soyadı],Etiket[[#This Row],[Adı Soyadı]],Etiket[TUTAR]))</f>
        <v/>
      </c>
    </row>
    <row r="109" spans="2:11" ht="15.6" thickTop="1" thickBot="1" x14ac:dyDescent="0.35">
      <c r="B109" s="1" t="str">
        <f>IF(ISBLANK(C109),"",SUBTOTAL(3, $C$3:C109))</f>
        <v/>
      </c>
      <c r="C109" s="33"/>
      <c r="D109" s="22"/>
      <c r="E109" s="8"/>
      <c r="F109" s="8"/>
      <c r="G109" s="8"/>
      <c r="H109" s="30" t="str">
        <f>IF(ISBLANK(Etiket[[#This Row],[En]]),"",Etiket[[#This Row],[ADET]]*Etiket[[#This Row],[En]]*2/100)</f>
        <v/>
      </c>
      <c r="I109" s="24" t="str">
        <f>IF(ISBLANK(Etiket[[#This Row],[En]]),"",İşçilikler!$C$3)</f>
        <v/>
      </c>
      <c r="J109" s="24" t="str">
        <f>IF(ISBLANK(Etiket[[#This Row],[En]]),"",H109*I109)</f>
        <v/>
      </c>
      <c r="K109" s="9" t="str">
        <f>IF(ISBLANK(Etiket[[#This Row],[En]]),"",SUMIF(Etiket[Adı Soyadı],Etiket[[#This Row],[Adı Soyadı]],Etiket[TUTAR]))</f>
        <v/>
      </c>
    </row>
    <row r="110" spans="2:11" ht="15.6" thickTop="1" thickBot="1" x14ac:dyDescent="0.35">
      <c r="B110" s="1" t="str">
        <f>IF(ISBLANK(C110),"",SUBTOTAL(3, $C$3:C110))</f>
        <v/>
      </c>
      <c r="C110" s="34"/>
      <c r="D110" s="22"/>
      <c r="E110" s="8"/>
      <c r="F110" s="8"/>
      <c r="G110" s="8"/>
      <c r="H110" s="30" t="str">
        <f>IF(ISBLANK(Etiket[[#This Row],[En]]),"",Etiket[[#This Row],[ADET]]*Etiket[[#This Row],[En]]*2/100)</f>
        <v/>
      </c>
      <c r="I110" s="24" t="str">
        <f>IF(ISBLANK(Etiket[[#This Row],[En]]),"",İşçilikler!$C$3)</f>
        <v/>
      </c>
      <c r="J110" s="24" t="str">
        <f>IF(ISBLANK(Etiket[[#This Row],[En]]),"",H110*I110)</f>
        <v/>
      </c>
      <c r="K110" s="9" t="str">
        <f>IF(ISBLANK(Etiket[[#This Row],[En]]),"",SUMIF(Etiket[Adı Soyadı],Etiket[[#This Row],[Adı Soyadı]],Etiket[TUTAR]))</f>
        <v/>
      </c>
    </row>
    <row r="111" spans="2:11" ht="15.6" thickTop="1" thickBot="1" x14ac:dyDescent="0.35">
      <c r="B111" s="1" t="str">
        <f>IF(ISBLANK(C111),"",SUBTOTAL(3, $C$3:C111))</f>
        <v/>
      </c>
      <c r="C111" s="34"/>
      <c r="D111" s="22"/>
      <c r="E111" s="8"/>
      <c r="F111" s="8"/>
      <c r="G111" s="8"/>
      <c r="H111" s="30" t="str">
        <f>IF(ISBLANK(Etiket[[#This Row],[En]]),"",Etiket[[#This Row],[ADET]]*Etiket[[#This Row],[En]]*2/100)</f>
        <v/>
      </c>
      <c r="I111" s="24" t="str">
        <f>IF(ISBLANK(Etiket[[#This Row],[En]]),"",İşçilikler!$C$3)</f>
        <v/>
      </c>
      <c r="J111" s="24" t="str">
        <f>IF(ISBLANK(Etiket[[#This Row],[En]]),"",H111*I111)</f>
        <v/>
      </c>
      <c r="K111" s="9" t="str">
        <f>IF(ISBLANK(Etiket[[#This Row],[En]]),"",SUMIF(Etiket[Adı Soyadı],Etiket[[#This Row],[Adı Soyadı]],Etiket[TUTAR]))</f>
        <v/>
      </c>
    </row>
    <row r="112" spans="2:11" ht="15.6" thickTop="1" thickBot="1" x14ac:dyDescent="0.35">
      <c r="B112" s="1" t="str">
        <f>IF(ISBLANK(C112),"",SUBTOTAL(3, $C$3:C112))</f>
        <v/>
      </c>
      <c r="C112" s="34"/>
      <c r="D112" s="22"/>
      <c r="E112" s="8"/>
      <c r="F112" s="8"/>
      <c r="G112" s="8"/>
      <c r="H112" s="30" t="str">
        <f>IF(ISBLANK(Etiket[[#This Row],[En]]),"",Etiket[[#This Row],[ADET]]*Etiket[[#This Row],[En]]*2/100)</f>
        <v/>
      </c>
      <c r="I112" s="24" t="str">
        <f>IF(ISBLANK(Etiket[[#This Row],[En]]),"",İşçilikler!$C$3)</f>
        <v/>
      </c>
      <c r="J112" s="24" t="str">
        <f>IF(ISBLANK(Etiket[[#This Row],[En]]),"",H112*I112)</f>
        <v/>
      </c>
      <c r="K112" s="9" t="str">
        <f>IF(ISBLANK(Etiket[[#This Row],[En]]),"",SUMIF(Etiket[Adı Soyadı],Etiket[[#This Row],[Adı Soyadı]],Etiket[TUTAR]))</f>
        <v/>
      </c>
    </row>
    <row r="113" spans="2:11" ht="15.6" thickTop="1" thickBot="1" x14ac:dyDescent="0.35">
      <c r="B113" s="1" t="str">
        <f>IF(ISBLANK(C113),"",SUBTOTAL(3, $C$3:C113))</f>
        <v/>
      </c>
      <c r="C113" s="34"/>
      <c r="D113" s="22"/>
      <c r="E113" s="8"/>
      <c r="F113" s="8"/>
      <c r="G113" s="8"/>
      <c r="H113" s="30" t="str">
        <f>IF(ISBLANK(Etiket[[#This Row],[En]]),"",Etiket[[#This Row],[ADET]]*Etiket[[#This Row],[En]]*2/100)</f>
        <v/>
      </c>
      <c r="I113" s="24" t="str">
        <f>IF(ISBLANK(Etiket[[#This Row],[En]]),"",İşçilikler!$C$3)</f>
        <v/>
      </c>
      <c r="J113" s="24" t="str">
        <f>IF(ISBLANK(Etiket[[#This Row],[En]]),"",H113*I113)</f>
        <v/>
      </c>
      <c r="K113" s="9" t="str">
        <f>IF(ISBLANK(Etiket[[#This Row],[En]]),"",SUMIF(Etiket[Adı Soyadı],Etiket[[#This Row],[Adı Soyadı]],Etiket[TUTAR]))</f>
        <v/>
      </c>
    </row>
    <row r="114" spans="2:11" ht="15.6" thickTop="1" thickBot="1" x14ac:dyDescent="0.35">
      <c r="B114" s="1" t="str">
        <f>IF(ISBLANK(C114),"",SUBTOTAL(3, $C$3:C114))</f>
        <v/>
      </c>
      <c r="C114" s="34"/>
      <c r="D114" s="22"/>
      <c r="E114" s="8"/>
      <c r="F114" s="8"/>
      <c r="G114" s="8"/>
      <c r="H114" s="30" t="str">
        <f>IF(ISBLANK(Etiket[[#This Row],[En]]),"",Etiket[[#This Row],[ADET]]*Etiket[[#This Row],[En]]*2/100)</f>
        <v/>
      </c>
      <c r="I114" s="24" t="str">
        <f>IF(ISBLANK(Etiket[[#This Row],[En]]),"",İşçilikler!$C$3)</f>
        <v/>
      </c>
      <c r="J114" s="24" t="str">
        <f>IF(ISBLANK(Etiket[[#This Row],[En]]),"",H114*I114)</f>
        <v/>
      </c>
      <c r="K114" s="9" t="str">
        <f>IF(ISBLANK(Etiket[[#This Row],[En]]),"",SUMIF(Etiket[Adı Soyadı],Etiket[[#This Row],[Adı Soyadı]],Etiket[TUTAR]))</f>
        <v/>
      </c>
    </row>
    <row r="115" spans="2:11" ht="15.6" thickTop="1" thickBot="1" x14ac:dyDescent="0.35">
      <c r="B115" s="1" t="str">
        <f>IF(ISBLANK(C115),"",SUBTOTAL(3, $C$3:C115))</f>
        <v/>
      </c>
      <c r="C115" s="34"/>
      <c r="D115" s="22"/>
      <c r="E115" s="8"/>
      <c r="F115" s="8"/>
      <c r="G115" s="8"/>
      <c r="H115" s="30" t="str">
        <f>IF(ISBLANK(Etiket[[#This Row],[En]]),"",Etiket[[#This Row],[ADET]]*Etiket[[#This Row],[En]]*2/100)</f>
        <v/>
      </c>
      <c r="I115" s="24" t="str">
        <f>IF(ISBLANK(Etiket[[#This Row],[En]]),"",İşçilikler!$C$3)</f>
        <v/>
      </c>
      <c r="J115" s="24" t="str">
        <f>IF(ISBLANK(Etiket[[#This Row],[En]]),"",H115*I115)</f>
        <v/>
      </c>
      <c r="K115" s="9" t="str">
        <f>IF(ISBLANK(Etiket[[#This Row],[En]]),"",SUMIF(Etiket[Adı Soyadı],Etiket[[#This Row],[Adı Soyadı]],Etiket[TUTAR]))</f>
        <v/>
      </c>
    </row>
    <row r="116" spans="2:11" ht="15.6" thickTop="1" thickBot="1" x14ac:dyDescent="0.35">
      <c r="B116" s="4" t="str">
        <f>IF(ISBLANK(C116),"",SUBTOTAL(3, $C$3:C116))</f>
        <v/>
      </c>
      <c r="C116" s="34"/>
      <c r="D116" s="22"/>
      <c r="E116" s="8"/>
      <c r="F116" s="8"/>
      <c r="G116" s="8"/>
      <c r="H116" s="30" t="str">
        <f>IF(ISBLANK(Etiket[[#This Row],[En]]),"",Etiket[[#This Row],[ADET]]*Etiket[[#This Row],[En]]*2/100)</f>
        <v/>
      </c>
      <c r="I116" s="24" t="str">
        <f>IF(ISBLANK(Etiket[[#This Row],[En]]),"",İşçilikler!$C$3)</f>
        <v/>
      </c>
      <c r="J116" s="24" t="str">
        <f>IF(ISBLANK(Etiket[[#This Row],[En]]),"",H116*I116)</f>
        <v/>
      </c>
      <c r="K116" s="9" t="str">
        <f>IF(ISBLANK(Etiket[[#This Row],[En]]),"",SUMIF(Etiket[Adı Soyadı],Etiket[[#This Row],[Adı Soyadı]],Etiket[TUTAR]))</f>
        <v/>
      </c>
    </row>
    <row r="117" spans="2:11" ht="15.6" thickTop="1" thickBot="1" x14ac:dyDescent="0.35">
      <c r="B117" s="21" t="s">
        <v>40</v>
      </c>
      <c r="C117" s="22"/>
      <c r="D117" s="22"/>
      <c r="E117" s="23"/>
      <c r="F117" s="63"/>
      <c r="G117" s="23">
        <f>SUBTOTAL(109,Etiket[ADET])</f>
        <v>0</v>
      </c>
      <c r="H117" s="26"/>
      <c r="I117" s="24"/>
      <c r="J117" s="24">
        <f>SUBTOTAL(109,Etiket[TUTAR])</f>
        <v>0</v>
      </c>
      <c r="K117" s="27"/>
    </row>
    <row r="118" spans="2:11" ht="15" thickTop="1" x14ac:dyDescent="0.3"/>
  </sheetData>
  <conditionalFormatting sqref="C3:C116">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8" min="2" max="8" man="1"/>
  </rowBreaks>
  <drawing r:id="rId2"/>
  <tableParts count="1">
    <tablePart r:id="rId3"/>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500-000000000000}">
          <x14:formula1>
            <xm:f>'Cins'!$B$2:$B$14</xm:f>
          </x14:formula1>
          <xm:sqref>D3:D116</xm:sqref>
        </x14:dataValidation>
        <x14:dataValidation type="list" allowBlank="1" showInputMessage="1" showErrorMessage="1" xr:uid="{00000000-0002-0000-0500-000001000000}">
          <x14:formula1>
            <xm:f>Personel!$B$2:$B$59</xm:f>
          </x14:formula1>
          <xm:sqref>C3:C116</xm:sqref>
        </x14:dataValidation>
        <x14:dataValidation type="list" allowBlank="1" showInputMessage="1" showErrorMessage="1" xr:uid="{00000000-0002-0000-0500-000002000000}">
          <x14:formula1>
            <xm:f>Fiyat!$B$2:$B$35</xm:f>
          </x14:formula1>
          <xm:sqref>E3:F116</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4">
    <tabColor rgb="FFC00000"/>
  </sheetPr>
  <dimension ref="B1:J99"/>
  <sheetViews>
    <sheetView zoomScaleNormal="100" workbookViewId="0">
      <pane ySplit="2" topLeftCell="A3" activePane="bottomLeft" state="frozen"/>
      <selection activeCell="F31" sqref="F31"/>
      <selection pane="bottomLeft" activeCell="H3" sqref="H3:H97"/>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5" width="5.5546875" style="49" customWidth="1"/>
    <col min="6" max="6" width="4.33203125" style="49" customWidth="1"/>
    <col min="7" max="7" width="5.6640625" style="49" customWidth="1"/>
    <col min="8" max="8" width="9.33203125" style="3" customWidth="1"/>
    <col min="9" max="10" width="9.6640625" bestFit="1" customWidth="1"/>
  </cols>
  <sheetData>
    <row r="1" spans="2:10" ht="57.6" customHeight="1" thickBot="1" x14ac:dyDescent="0.35"/>
    <row r="2" spans="2:10" ht="25.95" customHeight="1" thickTop="1" thickBot="1" x14ac:dyDescent="0.35">
      <c r="B2" s="37" t="s">
        <v>18</v>
      </c>
      <c r="C2" s="38" t="s">
        <v>17</v>
      </c>
      <c r="D2" s="39" t="s">
        <v>51</v>
      </c>
      <c r="E2" s="40" t="s">
        <v>57</v>
      </c>
      <c r="F2" s="40" t="s">
        <v>58</v>
      </c>
      <c r="G2" s="41" t="s">
        <v>0</v>
      </c>
      <c r="H2" s="50" t="s">
        <v>1</v>
      </c>
      <c r="I2" s="44" t="s">
        <v>2</v>
      </c>
      <c r="J2" s="14" t="s">
        <v>43</v>
      </c>
    </row>
    <row r="3" spans="2:10" ht="15.6" thickTop="1" thickBot="1" x14ac:dyDescent="0.35">
      <c r="B3" s="15" t="str">
        <f>IF(ISBLANK(C3),"",SUBTOTAL(3, $C$3:C3))</f>
        <v/>
      </c>
      <c r="C3" s="31"/>
      <c r="D3" s="16"/>
      <c r="E3" s="17"/>
      <c r="F3" s="17"/>
      <c r="G3" s="17"/>
      <c r="H3" s="42" t="str">
        <f>IF(ISBLANK(ElOverlogu[[#This Row],[En]]),"",İşçilikler!$C$2)</f>
        <v/>
      </c>
      <c r="I3" s="42" t="str">
        <f>IF(ISBLANK(ElOverlogu[[#This Row],[En]]),"",(ElOverlogu[[#This Row],[En]]+ElOverlogu[[#This Row],[Boy]])*ElOverlogu[[#This Row],[ADET]]*2*H3/100)</f>
        <v/>
      </c>
      <c r="J3" s="43" t="str">
        <f>IF(ISBLANK(ElOverlogu[[#This Row],[En]]),"",SUMIF(ElOverlogu[Adı Soyadı],ElOverlogu[[#This Row],[Adı Soyadı]],ElOverlogu[TUTAR]))</f>
        <v/>
      </c>
    </row>
    <row r="4" spans="2:10" ht="15.6" thickTop="1" thickBot="1" x14ac:dyDescent="0.35">
      <c r="B4" s="15" t="str">
        <f>IF(ISBLANK(C4),"",SUBTOTAL(3, $C$3:C4))</f>
        <v/>
      </c>
      <c r="C4" s="31"/>
      <c r="D4" s="16"/>
      <c r="E4" s="17"/>
      <c r="F4" s="17"/>
      <c r="G4" s="17"/>
      <c r="H4" s="42" t="str">
        <f>IF(ISBLANK(ElOverlogu[[#This Row],[En]]),"",İşçilikler!$C$2)</f>
        <v/>
      </c>
      <c r="I4" s="42" t="str">
        <f>IF(ISBLANK(ElOverlogu[[#This Row],[En]]),"",(ElOverlogu[[#This Row],[En]]+ElOverlogu[[#This Row],[Boy]])*ElOverlogu[[#This Row],[ADET]]*2*H4/100)</f>
        <v/>
      </c>
      <c r="J4" s="43" t="str">
        <f>IF(ISBLANK(ElOverlogu[[#This Row],[En]]),"",SUMIF(ElOverlogu[Adı Soyadı],ElOverlogu[[#This Row],[Adı Soyadı]],ElOverlogu[TUTAR]))</f>
        <v/>
      </c>
    </row>
    <row r="5" spans="2:10" ht="15.6" thickTop="1" thickBot="1" x14ac:dyDescent="0.35">
      <c r="B5" s="15" t="str">
        <f>IF(ISBLANK(C5),"",SUBTOTAL(3, $C$3:C5))</f>
        <v/>
      </c>
      <c r="C5" s="31"/>
      <c r="D5" s="16"/>
      <c r="E5" s="17"/>
      <c r="F5" s="17"/>
      <c r="G5" s="17"/>
      <c r="H5" s="42" t="str">
        <f>IF(ISBLANK(ElOverlogu[[#This Row],[En]]),"",İşçilikler!$C$2)</f>
        <v/>
      </c>
      <c r="I5" s="42" t="str">
        <f>IF(ISBLANK(ElOverlogu[[#This Row],[En]]),"",(ElOverlogu[[#This Row],[En]]+ElOverlogu[[#This Row],[Boy]])*ElOverlogu[[#This Row],[ADET]]*2*H5/100)</f>
        <v/>
      </c>
      <c r="J5" s="43" t="str">
        <f>IF(ISBLANK(ElOverlogu[[#This Row],[En]]),"",SUMIF(ElOverlogu[Adı Soyadı],ElOverlogu[[#This Row],[Adı Soyadı]],ElOverlogu[TUTAR]))</f>
        <v/>
      </c>
    </row>
    <row r="6" spans="2:10" ht="15.6" thickTop="1" thickBot="1" x14ac:dyDescent="0.35">
      <c r="B6" s="15" t="str">
        <f>IF(ISBLANK(C6),"",SUBTOTAL(3, $C$3:C6))</f>
        <v/>
      </c>
      <c r="C6" s="31"/>
      <c r="D6" s="16"/>
      <c r="E6" s="17"/>
      <c r="F6" s="17"/>
      <c r="G6" s="17"/>
      <c r="H6" s="42" t="str">
        <f>IF(ISBLANK(ElOverlogu[[#This Row],[En]]),"",İşçilikler!$C$2)</f>
        <v/>
      </c>
      <c r="I6" s="42" t="str">
        <f>IF(ISBLANK(ElOverlogu[[#This Row],[En]]),"",(ElOverlogu[[#This Row],[En]]+ElOverlogu[[#This Row],[Boy]])*ElOverlogu[[#This Row],[ADET]]*2*H6/100)</f>
        <v/>
      </c>
      <c r="J6" s="43" t="str">
        <f>IF(ISBLANK(ElOverlogu[[#This Row],[En]]),"",SUMIF(ElOverlogu[Adı Soyadı],ElOverlogu[[#This Row],[Adı Soyadı]],ElOverlogu[TUTAR]))</f>
        <v/>
      </c>
    </row>
    <row r="7" spans="2:10" ht="15.6" thickTop="1" thickBot="1" x14ac:dyDescent="0.35">
      <c r="B7" s="15" t="str">
        <f>IF(ISBLANK(C7),"",SUBTOTAL(3, $C$3:C7))</f>
        <v/>
      </c>
      <c r="C7" s="31"/>
      <c r="D7" s="16"/>
      <c r="E7" s="17"/>
      <c r="F7" s="17"/>
      <c r="G7" s="17"/>
      <c r="H7" s="42" t="str">
        <f>IF(ISBLANK(ElOverlogu[[#This Row],[En]]),"",İşçilikler!$C$2)</f>
        <v/>
      </c>
      <c r="I7" s="42" t="str">
        <f>IF(ISBLANK(ElOverlogu[[#This Row],[En]]),"",(ElOverlogu[[#This Row],[En]]+ElOverlogu[[#This Row],[Boy]])*ElOverlogu[[#This Row],[ADET]]*2*H7/100)</f>
        <v/>
      </c>
      <c r="J7" s="43" t="str">
        <f>IF(ISBLANK(ElOverlogu[[#This Row],[En]]),"",SUMIF(ElOverlogu[Adı Soyadı],ElOverlogu[[#This Row],[Adı Soyadı]],ElOverlogu[TUTAR]))</f>
        <v/>
      </c>
    </row>
    <row r="8" spans="2:10" ht="15.6" thickTop="1" thickBot="1" x14ac:dyDescent="0.35">
      <c r="B8" s="15" t="str">
        <f>IF(ISBLANK(C8),"",SUBTOTAL(3, $C$3:C8))</f>
        <v/>
      </c>
      <c r="C8" s="31"/>
      <c r="D8" s="16"/>
      <c r="E8" s="17"/>
      <c r="F8" s="17"/>
      <c r="G8" s="17"/>
      <c r="H8" s="42" t="str">
        <f>IF(ISBLANK(ElOverlogu[[#This Row],[En]]),"",İşçilikler!$C$2)</f>
        <v/>
      </c>
      <c r="I8" s="42" t="str">
        <f>IF(ISBLANK(ElOverlogu[[#This Row],[En]]),"",(ElOverlogu[[#This Row],[En]]+ElOverlogu[[#This Row],[Boy]])*ElOverlogu[[#This Row],[ADET]]*2*H8/100)</f>
        <v/>
      </c>
      <c r="J8" s="43" t="str">
        <f>IF(ISBLANK(ElOverlogu[[#This Row],[En]]),"",SUMIF(ElOverlogu[Adı Soyadı],ElOverlogu[[#This Row],[Adı Soyadı]],ElOverlogu[TUTAR]))</f>
        <v/>
      </c>
    </row>
    <row r="9" spans="2:10" ht="15.6" thickTop="1" thickBot="1" x14ac:dyDescent="0.35">
      <c r="B9" s="15" t="str">
        <f>IF(ISBLANK(C9),"",SUBTOTAL(3, $C$3:C9))</f>
        <v/>
      </c>
      <c r="C9" s="31"/>
      <c r="D9" s="16"/>
      <c r="E9" s="17"/>
      <c r="F9" s="17"/>
      <c r="G9" s="17"/>
      <c r="H9" s="42" t="str">
        <f>IF(ISBLANK(ElOverlogu[[#This Row],[En]]),"",İşçilikler!$C$2)</f>
        <v/>
      </c>
      <c r="I9" s="42" t="str">
        <f>IF(ISBLANK(ElOverlogu[[#This Row],[En]]),"",(ElOverlogu[[#This Row],[En]]+ElOverlogu[[#This Row],[Boy]])*ElOverlogu[[#This Row],[ADET]]*2*H9/100)</f>
        <v/>
      </c>
      <c r="J9" s="43" t="str">
        <f>IF(ISBLANK(ElOverlogu[[#This Row],[En]]),"",SUMIF(ElOverlogu[Adı Soyadı],ElOverlogu[[#This Row],[Adı Soyadı]],ElOverlogu[TUTAR]))</f>
        <v/>
      </c>
    </row>
    <row r="10" spans="2:10" ht="15.6" thickTop="1" thickBot="1" x14ac:dyDescent="0.35">
      <c r="B10" s="15" t="str">
        <f>IF(ISBLANK(C10),"",SUBTOTAL(3, $C$3:C10))</f>
        <v/>
      </c>
      <c r="C10" s="31"/>
      <c r="D10" s="16"/>
      <c r="E10" s="17"/>
      <c r="F10" s="17"/>
      <c r="G10" s="17"/>
      <c r="H10" s="42" t="str">
        <f>IF(ISBLANK(ElOverlogu[[#This Row],[En]]),"",İşçilikler!$C$2)</f>
        <v/>
      </c>
      <c r="I10" s="42" t="str">
        <f>IF(ISBLANK(ElOverlogu[[#This Row],[En]]),"",(ElOverlogu[[#This Row],[En]]+ElOverlogu[[#This Row],[Boy]])*ElOverlogu[[#This Row],[ADET]]*2*H10/100)</f>
        <v/>
      </c>
      <c r="J10" s="43" t="str">
        <f>IF(ISBLANK(ElOverlogu[[#This Row],[En]]),"",SUMIF(ElOverlogu[Adı Soyadı],ElOverlogu[[#This Row],[Adı Soyadı]],ElOverlogu[TUTAR]))</f>
        <v/>
      </c>
    </row>
    <row r="11" spans="2:10" ht="15.6" thickTop="1" thickBot="1" x14ac:dyDescent="0.35">
      <c r="B11" s="15" t="str">
        <f>IF(ISBLANK(C11),"",SUBTOTAL(3, $C$3:C11))</f>
        <v/>
      </c>
      <c r="C11" s="31"/>
      <c r="D11" s="16"/>
      <c r="E11" s="17"/>
      <c r="F11" s="17"/>
      <c r="G11" s="17"/>
      <c r="H11" s="42" t="str">
        <f>IF(ISBLANK(ElOverlogu[[#This Row],[En]]),"",İşçilikler!$C$2)</f>
        <v/>
      </c>
      <c r="I11" s="42" t="str">
        <f>IF(ISBLANK(ElOverlogu[[#This Row],[En]]),"",(ElOverlogu[[#This Row],[En]]+ElOverlogu[[#This Row],[Boy]])*ElOverlogu[[#This Row],[ADET]]*2*H11/100)</f>
        <v/>
      </c>
      <c r="J11" s="43" t="str">
        <f>IF(ISBLANK(ElOverlogu[[#This Row],[En]]),"",SUMIF(ElOverlogu[Adı Soyadı],ElOverlogu[[#This Row],[Adı Soyadı]],ElOverlogu[TUTAR]))</f>
        <v/>
      </c>
    </row>
    <row r="12" spans="2:10" ht="15.6" thickTop="1" thickBot="1" x14ac:dyDescent="0.35">
      <c r="B12" s="15" t="str">
        <f>IF(ISBLANK(C12),"",SUBTOTAL(3, $C$3:C12))</f>
        <v/>
      </c>
      <c r="C12" s="31"/>
      <c r="D12" s="16"/>
      <c r="E12" s="17"/>
      <c r="F12" s="17"/>
      <c r="G12" s="17"/>
      <c r="H12" s="42" t="str">
        <f>IF(ISBLANK(ElOverlogu[[#This Row],[En]]),"",İşçilikler!$C$2)</f>
        <v/>
      </c>
      <c r="I12" s="42" t="str">
        <f>IF(ISBLANK(ElOverlogu[[#This Row],[En]]),"",(ElOverlogu[[#This Row],[En]]+ElOverlogu[[#This Row],[Boy]])*ElOverlogu[[#This Row],[ADET]]*2*H12/100)</f>
        <v/>
      </c>
      <c r="J12" s="43" t="str">
        <f>IF(ISBLANK(ElOverlogu[[#This Row],[En]]),"",SUMIF(ElOverlogu[Adı Soyadı],ElOverlogu[[#This Row],[Adı Soyadı]],ElOverlogu[TUTAR]))</f>
        <v/>
      </c>
    </row>
    <row r="13" spans="2:10" ht="15.6" thickTop="1" thickBot="1" x14ac:dyDescent="0.35">
      <c r="B13" s="15" t="str">
        <f>IF(ISBLANK(C13),"",SUBTOTAL(3, $C$3:C13))</f>
        <v/>
      </c>
      <c r="C13" s="31"/>
      <c r="D13" s="16"/>
      <c r="E13" s="17"/>
      <c r="F13" s="17"/>
      <c r="G13" s="17"/>
      <c r="H13" s="42" t="str">
        <f>IF(ISBLANK(ElOverlogu[[#This Row],[En]]),"",İşçilikler!$C$2)</f>
        <v/>
      </c>
      <c r="I13" s="42" t="str">
        <f>IF(ISBLANK(ElOverlogu[[#This Row],[En]]),"",(ElOverlogu[[#This Row],[En]]+ElOverlogu[[#This Row],[Boy]])*ElOverlogu[[#This Row],[ADET]]*2*H13/100)</f>
        <v/>
      </c>
      <c r="J13" s="43" t="str">
        <f>IF(ISBLANK(ElOverlogu[[#This Row],[En]]),"",SUMIF(ElOverlogu[Adı Soyadı],ElOverlogu[[#This Row],[Adı Soyadı]],ElOverlogu[TUTAR]))</f>
        <v/>
      </c>
    </row>
    <row r="14" spans="2:10" ht="15.6" thickTop="1" thickBot="1" x14ac:dyDescent="0.35">
      <c r="B14" s="15" t="str">
        <f>IF(ISBLANK(C14),"",SUBTOTAL(3, $C$3:C14))</f>
        <v/>
      </c>
      <c r="C14" s="31"/>
      <c r="D14" s="16"/>
      <c r="E14" s="17"/>
      <c r="F14" s="17"/>
      <c r="G14" s="17"/>
      <c r="H14" s="42" t="str">
        <f>IF(ISBLANK(ElOverlogu[[#This Row],[En]]),"",İşçilikler!$C$2)</f>
        <v/>
      </c>
      <c r="I14" s="42" t="str">
        <f>IF(ISBLANK(ElOverlogu[[#This Row],[En]]),"",(ElOverlogu[[#This Row],[En]]+ElOverlogu[[#This Row],[Boy]])*ElOverlogu[[#This Row],[ADET]]*2*H14/100)</f>
        <v/>
      </c>
      <c r="J14" s="43" t="str">
        <f>IF(ISBLANK(ElOverlogu[[#This Row],[En]]),"",SUMIF(ElOverlogu[Adı Soyadı],ElOverlogu[[#This Row],[Adı Soyadı]],ElOverlogu[TUTAR]))</f>
        <v/>
      </c>
    </row>
    <row r="15" spans="2:10" ht="15.6" thickTop="1" thickBot="1" x14ac:dyDescent="0.35">
      <c r="B15" s="15" t="str">
        <f>IF(ISBLANK(C15),"",SUBTOTAL(3, $C$3:C15))</f>
        <v/>
      </c>
      <c r="C15" s="31"/>
      <c r="D15" s="16"/>
      <c r="E15" s="17"/>
      <c r="F15" s="17"/>
      <c r="G15" s="17"/>
      <c r="H15" s="42" t="str">
        <f>IF(ISBLANK(ElOverlogu[[#This Row],[En]]),"",İşçilikler!$C$2)</f>
        <v/>
      </c>
      <c r="I15" s="42" t="str">
        <f>IF(ISBLANK(ElOverlogu[[#This Row],[En]]),"",(ElOverlogu[[#This Row],[En]]+ElOverlogu[[#This Row],[Boy]])*ElOverlogu[[#This Row],[ADET]]*2*H15/100)</f>
        <v/>
      </c>
      <c r="J15" s="43" t="str">
        <f>IF(ISBLANK(ElOverlogu[[#This Row],[En]]),"",SUMIF(ElOverlogu[Adı Soyadı],ElOverlogu[[#This Row],[Adı Soyadı]],ElOverlogu[TUTAR]))</f>
        <v/>
      </c>
    </row>
    <row r="16" spans="2:10" ht="15.6" thickTop="1" thickBot="1" x14ac:dyDescent="0.35">
      <c r="B16" s="15" t="str">
        <f>IF(ISBLANK(C16),"",SUBTOTAL(3, $C$3:C16))</f>
        <v/>
      </c>
      <c r="C16" s="31"/>
      <c r="D16" s="16"/>
      <c r="E16" s="17"/>
      <c r="F16" s="17"/>
      <c r="G16" s="17"/>
      <c r="H16" s="42" t="str">
        <f>IF(ISBLANK(ElOverlogu[[#This Row],[En]]),"",İşçilikler!$C$2)</f>
        <v/>
      </c>
      <c r="I16" s="42" t="str">
        <f>IF(ISBLANK(ElOverlogu[[#This Row],[En]]),"",(ElOverlogu[[#This Row],[En]]+ElOverlogu[[#This Row],[Boy]])*ElOverlogu[[#This Row],[ADET]]*2*H16/100)</f>
        <v/>
      </c>
      <c r="J16" s="43" t="str">
        <f>IF(ISBLANK(ElOverlogu[[#This Row],[En]]),"",SUMIF(ElOverlogu[Adı Soyadı],ElOverlogu[[#This Row],[Adı Soyadı]],ElOverlogu[TUTAR]))</f>
        <v/>
      </c>
    </row>
    <row r="17" spans="2:10" ht="15.6" thickTop="1" thickBot="1" x14ac:dyDescent="0.35">
      <c r="B17" s="15" t="str">
        <f>IF(ISBLANK(C17),"",SUBTOTAL(3, $C$3:C17))</f>
        <v/>
      </c>
      <c r="C17" s="31"/>
      <c r="D17" s="16"/>
      <c r="E17" s="17"/>
      <c r="F17" s="17"/>
      <c r="G17" s="17"/>
      <c r="H17" s="42" t="str">
        <f>IF(ISBLANK(ElOverlogu[[#This Row],[En]]),"",İşçilikler!$C$2)</f>
        <v/>
      </c>
      <c r="I17" s="42" t="str">
        <f>IF(ISBLANK(ElOverlogu[[#This Row],[En]]),"",(ElOverlogu[[#This Row],[En]]+ElOverlogu[[#This Row],[Boy]])*ElOverlogu[[#This Row],[ADET]]*2*H17/100)</f>
        <v/>
      </c>
      <c r="J17" s="43" t="str">
        <f>IF(ISBLANK(ElOverlogu[[#This Row],[En]]),"",SUMIF(ElOverlogu[Adı Soyadı],ElOverlogu[[#This Row],[Adı Soyadı]],ElOverlogu[TUTAR]))</f>
        <v/>
      </c>
    </row>
    <row r="18" spans="2:10" ht="15.6" thickTop="1" thickBot="1" x14ac:dyDescent="0.35">
      <c r="B18" s="15" t="str">
        <f>IF(ISBLANK(C18),"",SUBTOTAL(3, $C$3:C18))</f>
        <v/>
      </c>
      <c r="C18" s="31"/>
      <c r="D18" s="16"/>
      <c r="E18" s="17"/>
      <c r="F18" s="17"/>
      <c r="G18" s="17"/>
      <c r="H18" s="42" t="str">
        <f>IF(ISBLANK(ElOverlogu[[#This Row],[En]]),"",İşçilikler!$C$2)</f>
        <v/>
      </c>
      <c r="I18" s="42" t="str">
        <f>IF(ISBLANK(ElOverlogu[[#This Row],[En]]),"",(ElOverlogu[[#This Row],[En]]+ElOverlogu[[#This Row],[Boy]])*ElOverlogu[[#This Row],[ADET]]*2*H18/100)</f>
        <v/>
      </c>
      <c r="J18" s="43" t="str">
        <f>IF(ISBLANK(ElOverlogu[[#This Row],[En]]),"",SUMIF(ElOverlogu[Adı Soyadı],ElOverlogu[[#This Row],[Adı Soyadı]],ElOverlogu[TUTAR]))</f>
        <v/>
      </c>
    </row>
    <row r="19" spans="2:10" ht="15.6" thickTop="1" thickBot="1" x14ac:dyDescent="0.35">
      <c r="B19" s="15" t="str">
        <f>IF(ISBLANK(C19),"",SUBTOTAL(3, $C$3:C19))</f>
        <v/>
      </c>
      <c r="C19" s="31"/>
      <c r="D19" s="16"/>
      <c r="E19" s="17"/>
      <c r="F19" s="17"/>
      <c r="G19" s="17"/>
      <c r="H19" s="42" t="str">
        <f>IF(ISBLANK(ElOverlogu[[#This Row],[En]]),"",İşçilikler!$C$2)</f>
        <v/>
      </c>
      <c r="I19" s="42" t="str">
        <f>IF(ISBLANK(ElOverlogu[[#This Row],[En]]),"",(ElOverlogu[[#This Row],[En]]+ElOverlogu[[#This Row],[Boy]])*ElOverlogu[[#This Row],[ADET]]*2*H19/100)</f>
        <v/>
      </c>
      <c r="J19" s="43" t="str">
        <f>IF(ISBLANK(ElOverlogu[[#This Row],[En]]),"",SUMIF(ElOverlogu[Adı Soyadı],ElOverlogu[[#This Row],[Adı Soyadı]],ElOverlogu[TUTAR]))</f>
        <v/>
      </c>
    </row>
    <row r="20" spans="2:10" ht="15.6" thickTop="1" thickBot="1" x14ac:dyDescent="0.35">
      <c r="B20" s="15" t="str">
        <f>IF(ISBLANK(C20),"",SUBTOTAL(3, $C$3:C20))</f>
        <v/>
      </c>
      <c r="C20" s="31"/>
      <c r="D20" s="16"/>
      <c r="E20" s="17"/>
      <c r="F20" s="17"/>
      <c r="G20" s="17"/>
      <c r="H20" s="42" t="str">
        <f>IF(ISBLANK(ElOverlogu[[#This Row],[En]]),"",İşçilikler!$C$2)</f>
        <v/>
      </c>
      <c r="I20" s="42" t="str">
        <f>IF(ISBLANK(ElOverlogu[[#This Row],[En]]),"",(ElOverlogu[[#This Row],[En]]+ElOverlogu[[#This Row],[Boy]])*ElOverlogu[[#This Row],[ADET]]*2*H20/100)</f>
        <v/>
      </c>
      <c r="J20" s="43" t="str">
        <f>IF(ISBLANK(ElOverlogu[[#This Row],[En]]),"",SUMIF(ElOverlogu[Adı Soyadı],ElOverlogu[[#This Row],[Adı Soyadı]],ElOverlogu[TUTAR]))</f>
        <v/>
      </c>
    </row>
    <row r="21" spans="2:10" ht="15.6" thickTop="1" thickBot="1" x14ac:dyDescent="0.35">
      <c r="B21" s="15" t="str">
        <f>IF(ISBLANK(C21),"",SUBTOTAL(3, $C$3:C21))</f>
        <v/>
      </c>
      <c r="C21" s="31"/>
      <c r="D21" s="16"/>
      <c r="E21" s="17"/>
      <c r="F21" s="17"/>
      <c r="G21" s="17"/>
      <c r="H21" s="42" t="str">
        <f>IF(ISBLANK(ElOverlogu[[#This Row],[En]]),"",İşçilikler!$C$2)</f>
        <v/>
      </c>
      <c r="I21" s="42" t="str">
        <f>IF(ISBLANK(ElOverlogu[[#This Row],[En]]),"",(ElOverlogu[[#This Row],[En]]+ElOverlogu[[#This Row],[Boy]])*ElOverlogu[[#This Row],[ADET]]*2*H21/100)</f>
        <v/>
      </c>
      <c r="J21" s="43" t="str">
        <f>IF(ISBLANK(ElOverlogu[[#This Row],[En]]),"",SUMIF(ElOverlogu[Adı Soyadı],ElOverlogu[[#This Row],[Adı Soyadı]],ElOverlogu[TUTAR]))</f>
        <v/>
      </c>
    </row>
    <row r="22" spans="2:10" ht="15.6" thickTop="1" thickBot="1" x14ac:dyDescent="0.35">
      <c r="B22" s="15" t="str">
        <f>IF(ISBLANK(C22),"",SUBTOTAL(3, $C$3:C22))</f>
        <v/>
      </c>
      <c r="C22" s="31"/>
      <c r="D22" s="16"/>
      <c r="E22" s="17"/>
      <c r="F22" s="17"/>
      <c r="G22" s="17"/>
      <c r="H22" s="42" t="str">
        <f>IF(ISBLANK(ElOverlogu[[#This Row],[En]]),"",İşçilikler!$C$2)</f>
        <v/>
      </c>
      <c r="I22" s="42" t="str">
        <f>IF(ISBLANK(ElOverlogu[[#This Row],[En]]),"",(ElOverlogu[[#This Row],[En]]+ElOverlogu[[#This Row],[Boy]])*ElOverlogu[[#This Row],[ADET]]*2*H22/100)</f>
        <v/>
      </c>
      <c r="J22" s="43" t="str">
        <f>IF(ISBLANK(ElOverlogu[[#This Row],[En]]),"",SUMIF(ElOverlogu[Adı Soyadı],ElOverlogu[[#This Row],[Adı Soyadı]],ElOverlogu[TUTAR]))</f>
        <v/>
      </c>
    </row>
    <row r="23" spans="2:10" ht="15.6" thickTop="1" thickBot="1" x14ac:dyDescent="0.35">
      <c r="B23" s="15" t="str">
        <f>IF(ISBLANK(C23),"",SUBTOTAL(3, $C$3:C23))</f>
        <v/>
      </c>
      <c r="C23" s="31"/>
      <c r="D23" s="16"/>
      <c r="E23" s="17"/>
      <c r="F23" s="17"/>
      <c r="G23" s="17"/>
      <c r="H23" s="42" t="str">
        <f>IF(ISBLANK(ElOverlogu[[#This Row],[En]]),"",İşçilikler!$C$2)</f>
        <v/>
      </c>
      <c r="I23" s="42" t="str">
        <f>IF(ISBLANK(ElOverlogu[[#This Row],[En]]),"",(ElOverlogu[[#This Row],[En]]+ElOverlogu[[#This Row],[Boy]])*ElOverlogu[[#This Row],[ADET]]*2*H23/100)</f>
        <v/>
      </c>
      <c r="J23" s="43" t="str">
        <f>IF(ISBLANK(ElOverlogu[[#This Row],[En]]),"",SUMIF(ElOverlogu[Adı Soyadı],ElOverlogu[[#This Row],[Adı Soyadı]],ElOverlogu[TUTAR]))</f>
        <v/>
      </c>
    </row>
    <row r="24" spans="2:10" ht="15.6" thickTop="1" thickBot="1" x14ac:dyDescent="0.35">
      <c r="B24" s="15" t="str">
        <f>IF(ISBLANK(C24),"",SUBTOTAL(3, $C$3:C24))</f>
        <v/>
      </c>
      <c r="C24" s="31"/>
      <c r="D24" s="16"/>
      <c r="E24" s="17"/>
      <c r="F24" s="17"/>
      <c r="G24" s="17"/>
      <c r="H24" s="42" t="str">
        <f>IF(ISBLANK(ElOverlogu[[#This Row],[En]]),"",İşçilikler!$C$2)</f>
        <v/>
      </c>
      <c r="I24" s="42" t="str">
        <f>IF(ISBLANK(ElOverlogu[[#This Row],[En]]),"",(ElOverlogu[[#This Row],[En]]+ElOverlogu[[#This Row],[Boy]])*ElOverlogu[[#This Row],[ADET]]*2*H24/100)</f>
        <v/>
      </c>
      <c r="J24" s="43" t="str">
        <f>IF(ISBLANK(ElOverlogu[[#This Row],[En]]),"",SUMIF(ElOverlogu[Adı Soyadı],ElOverlogu[[#This Row],[Adı Soyadı]],ElOverlogu[TUTAR]))</f>
        <v/>
      </c>
    </row>
    <row r="25" spans="2:10" ht="15.6" thickTop="1" thickBot="1" x14ac:dyDescent="0.35">
      <c r="B25" s="15" t="str">
        <f>IF(ISBLANK(C25),"",SUBTOTAL(3, $C$3:C25))</f>
        <v/>
      </c>
      <c r="C25" s="31"/>
      <c r="D25" s="16"/>
      <c r="E25" s="17"/>
      <c r="F25" s="17"/>
      <c r="G25" s="17"/>
      <c r="H25" s="42" t="str">
        <f>IF(ISBLANK(ElOverlogu[[#This Row],[En]]),"",İşçilikler!$C$2)</f>
        <v/>
      </c>
      <c r="I25" s="42" t="str">
        <f>IF(ISBLANK(ElOverlogu[[#This Row],[En]]),"",(ElOverlogu[[#This Row],[En]]+ElOverlogu[[#This Row],[Boy]])*ElOverlogu[[#This Row],[ADET]]*2*H25/100)</f>
        <v/>
      </c>
      <c r="J25" s="43" t="str">
        <f>IF(ISBLANK(ElOverlogu[[#This Row],[En]]),"",SUMIF(ElOverlogu[Adı Soyadı],ElOverlogu[[#This Row],[Adı Soyadı]],ElOverlogu[TUTAR]))</f>
        <v/>
      </c>
    </row>
    <row r="26" spans="2:10" ht="15.6" thickTop="1" thickBot="1" x14ac:dyDescent="0.35">
      <c r="B26" s="15" t="str">
        <f>IF(ISBLANK(C26),"",SUBTOTAL(3, $C$3:C26))</f>
        <v/>
      </c>
      <c r="C26" s="31"/>
      <c r="D26" s="16"/>
      <c r="E26" s="17"/>
      <c r="F26" s="17"/>
      <c r="G26" s="17"/>
      <c r="H26" s="42" t="str">
        <f>IF(ISBLANK(ElOverlogu[[#This Row],[En]]),"",İşçilikler!$C$2)</f>
        <v/>
      </c>
      <c r="I26" s="42" t="str">
        <f>IF(ISBLANK(ElOverlogu[[#This Row],[En]]),"",(ElOverlogu[[#This Row],[En]]+ElOverlogu[[#This Row],[Boy]])*ElOverlogu[[#This Row],[ADET]]*2*H26/100)</f>
        <v/>
      </c>
      <c r="J26" s="43" t="str">
        <f>IF(ISBLANK(ElOverlogu[[#This Row],[En]]),"",SUMIF(ElOverlogu[Adı Soyadı],ElOverlogu[[#This Row],[Adı Soyadı]],ElOverlogu[TUTAR]))</f>
        <v/>
      </c>
    </row>
    <row r="27" spans="2:10" ht="15.6" thickTop="1" thickBot="1" x14ac:dyDescent="0.35">
      <c r="B27" s="15" t="str">
        <f>IF(ISBLANK(C27),"",SUBTOTAL(3, $C$3:C27))</f>
        <v/>
      </c>
      <c r="C27" s="31"/>
      <c r="D27" s="16"/>
      <c r="E27" s="17"/>
      <c r="F27" s="17"/>
      <c r="G27" s="17"/>
      <c r="H27" s="42" t="str">
        <f>IF(ISBLANK(ElOverlogu[[#This Row],[En]]),"",İşçilikler!$C$2)</f>
        <v/>
      </c>
      <c r="I27" s="42" t="str">
        <f>IF(ISBLANK(ElOverlogu[[#This Row],[En]]),"",(ElOverlogu[[#This Row],[En]]+ElOverlogu[[#This Row],[Boy]])*ElOverlogu[[#This Row],[ADET]]*2*H27/100)</f>
        <v/>
      </c>
      <c r="J27" s="43" t="str">
        <f>IF(ISBLANK(ElOverlogu[[#This Row],[En]]),"",SUMIF(ElOverlogu[Adı Soyadı],ElOverlogu[[#This Row],[Adı Soyadı]],ElOverlogu[TUTAR]))</f>
        <v/>
      </c>
    </row>
    <row r="28" spans="2:10" ht="15.6" thickTop="1" thickBot="1" x14ac:dyDescent="0.35">
      <c r="B28" s="15" t="str">
        <f>IF(ISBLANK(C28),"",SUBTOTAL(3, $C$3:C28))</f>
        <v/>
      </c>
      <c r="C28" s="31"/>
      <c r="D28" s="16"/>
      <c r="E28" s="17"/>
      <c r="F28" s="17"/>
      <c r="G28" s="17"/>
      <c r="H28" s="42" t="str">
        <f>IF(ISBLANK(ElOverlogu[[#This Row],[En]]),"",İşçilikler!$C$2)</f>
        <v/>
      </c>
      <c r="I28" s="42" t="str">
        <f>IF(ISBLANK(ElOverlogu[[#This Row],[En]]),"",(ElOverlogu[[#This Row],[En]]+ElOverlogu[[#This Row],[Boy]])*ElOverlogu[[#This Row],[ADET]]*2*H28/100)</f>
        <v/>
      </c>
      <c r="J28" s="43" t="str">
        <f>IF(ISBLANK(ElOverlogu[[#This Row],[En]]),"",SUMIF(ElOverlogu[Adı Soyadı],ElOverlogu[[#This Row],[Adı Soyadı]],ElOverlogu[TUTAR]))</f>
        <v/>
      </c>
    </row>
    <row r="29" spans="2:10" ht="15.6" thickTop="1" thickBot="1" x14ac:dyDescent="0.35">
      <c r="B29" s="15" t="str">
        <f>IF(ISBLANK(C29),"",SUBTOTAL(3, $C$3:C29))</f>
        <v/>
      </c>
      <c r="C29" s="31"/>
      <c r="D29" s="16"/>
      <c r="E29" s="17"/>
      <c r="F29" s="17"/>
      <c r="G29" s="17"/>
      <c r="H29" s="42" t="str">
        <f>IF(ISBLANK(ElOverlogu[[#This Row],[En]]),"",İşçilikler!$C$2)</f>
        <v/>
      </c>
      <c r="I29" s="42" t="str">
        <f>IF(ISBLANK(ElOverlogu[[#This Row],[En]]),"",(ElOverlogu[[#This Row],[En]]+ElOverlogu[[#This Row],[Boy]])*ElOverlogu[[#This Row],[ADET]]*2*H29/100)</f>
        <v/>
      </c>
      <c r="J29" s="43" t="str">
        <f>IF(ISBLANK(ElOverlogu[[#This Row],[En]]),"",SUMIF(ElOverlogu[Adı Soyadı],ElOverlogu[[#This Row],[Adı Soyadı]],ElOverlogu[TUTAR]))</f>
        <v/>
      </c>
    </row>
    <row r="30" spans="2:10" ht="15.6" thickTop="1" thickBot="1" x14ac:dyDescent="0.35">
      <c r="B30" s="15" t="str">
        <f>IF(ISBLANK(C30),"",SUBTOTAL(3, $C$3:C30))</f>
        <v/>
      </c>
      <c r="C30" s="31"/>
      <c r="D30" s="16"/>
      <c r="E30" s="17"/>
      <c r="F30" s="17"/>
      <c r="G30" s="17"/>
      <c r="H30" s="42" t="str">
        <f>IF(ISBLANK(ElOverlogu[[#This Row],[En]]),"",İşçilikler!$C$2)</f>
        <v/>
      </c>
      <c r="I30" s="42" t="str">
        <f>IF(ISBLANK(ElOverlogu[[#This Row],[En]]),"",(ElOverlogu[[#This Row],[En]]+ElOverlogu[[#This Row],[Boy]])*ElOverlogu[[#This Row],[ADET]]*2*H30/100)</f>
        <v/>
      </c>
      <c r="J30" s="43" t="str">
        <f>IF(ISBLANK(ElOverlogu[[#This Row],[En]]),"",SUMIF(ElOverlogu[Adı Soyadı],ElOverlogu[[#This Row],[Adı Soyadı]],ElOverlogu[TUTAR]))</f>
        <v/>
      </c>
    </row>
    <row r="31" spans="2:10" ht="15.6" thickTop="1" thickBot="1" x14ac:dyDescent="0.35">
      <c r="B31" s="15" t="str">
        <f>IF(ISBLANK(C31),"",SUBTOTAL(3, $C$3:C31))</f>
        <v/>
      </c>
      <c r="C31" s="31"/>
      <c r="D31" s="16"/>
      <c r="E31" s="17"/>
      <c r="F31" s="17"/>
      <c r="G31" s="17"/>
      <c r="H31" s="42" t="str">
        <f>IF(ISBLANK(ElOverlogu[[#This Row],[En]]),"",İşçilikler!$C$2)</f>
        <v/>
      </c>
      <c r="I31" s="42" t="str">
        <f>IF(ISBLANK(ElOverlogu[[#This Row],[En]]),"",(ElOverlogu[[#This Row],[En]]+ElOverlogu[[#This Row],[Boy]])*ElOverlogu[[#This Row],[ADET]]*2*H31/100)</f>
        <v/>
      </c>
      <c r="J31" s="43" t="str">
        <f>IF(ISBLANK(ElOverlogu[[#This Row],[En]]),"",SUMIF(ElOverlogu[Adı Soyadı],ElOverlogu[[#This Row],[Adı Soyadı]],ElOverlogu[TUTAR]))</f>
        <v/>
      </c>
    </row>
    <row r="32" spans="2:10" ht="15.6" thickTop="1" thickBot="1" x14ac:dyDescent="0.35">
      <c r="B32" s="15" t="str">
        <f>IF(ISBLANK(C32),"",SUBTOTAL(3, $C$3:C32))</f>
        <v/>
      </c>
      <c r="C32" s="31"/>
      <c r="D32" s="16"/>
      <c r="E32" s="17"/>
      <c r="F32" s="17"/>
      <c r="G32" s="17"/>
      <c r="H32" s="42" t="str">
        <f>IF(ISBLANK(ElOverlogu[[#This Row],[En]]),"",İşçilikler!$C$2)</f>
        <v/>
      </c>
      <c r="I32" s="42" t="str">
        <f>IF(ISBLANK(ElOverlogu[[#This Row],[En]]),"",(ElOverlogu[[#This Row],[En]]+ElOverlogu[[#This Row],[Boy]])*ElOverlogu[[#This Row],[ADET]]*2*H32/100)</f>
        <v/>
      </c>
      <c r="J32" s="43" t="str">
        <f>IF(ISBLANK(ElOverlogu[[#This Row],[En]]),"",SUMIF(ElOverlogu[Adı Soyadı],ElOverlogu[[#This Row],[Adı Soyadı]],ElOverlogu[TUTAR]))</f>
        <v/>
      </c>
    </row>
    <row r="33" spans="2:10" ht="15.6" thickTop="1" thickBot="1" x14ac:dyDescent="0.35">
      <c r="B33" s="15" t="str">
        <f>IF(ISBLANK(C33),"",SUBTOTAL(3, $C$3:C33))</f>
        <v/>
      </c>
      <c r="C33" s="31"/>
      <c r="D33" s="16"/>
      <c r="E33" s="17"/>
      <c r="F33" s="17"/>
      <c r="G33" s="17"/>
      <c r="H33" s="42" t="str">
        <f>IF(ISBLANK(ElOverlogu[[#This Row],[En]]),"",İşçilikler!$C$2)</f>
        <v/>
      </c>
      <c r="I33" s="42" t="str">
        <f>IF(ISBLANK(ElOverlogu[[#This Row],[En]]),"",(ElOverlogu[[#This Row],[En]]+ElOverlogu[[#This Row],[Boy]])*ElOverlogu[[#This Row],[ADET]]*2*H33/100)</f>
        <v/>
      </c>
      <c r="J33" s="43" t="str">
        <f>IF(ISBLANK(ElOverlogu[[#This Row],[En]]),"",SUMIF(ElOverlogu[Adı Soyadı],ElOverlogu[[#This Row],[Adı Soyadı]],ElOverlogu[TUTAR]))</f>
        <v/>
      </c>
    </row>
    <row r="34" spans="2:10" ht="15.6" thickTop="1" thickBot="1" x14ac:dyDescent="0.35">
      <c r="B34" s="15" t="str">
        <f>IF(ISBLANK(C34),"",SUBTOTAL(3, $C$3:C34))</f>
        <v/>
      </c>
      <c r="C34" s="31"/>
      <c r="D34" s="16"/>
      <c r="E34" s="17"/>
      <c r="F34" s="17"/>
      <c r="G34" s="17"/>
      <c r="H34" s="42" t="str">
        <f>IF(ISBLANK(ElOverlogu[[#This Row],[En]]),"",İşçilikler!$C$2)</f>
        <v/>
      </c>
      <c r="I34" s="42" t="str">
        <f>IF(ISBLANK(ElOverlogu[[#This Row],[En]]),"",(ElOverlogu[[#This Row],[En]]+ElOverlogu[[#This Row],[Boy]])*ElOverlogu[[#This Row],[ADET]]*2*H34/100)</f>
        <v/>
      </c>
      <c r="J34" s="43" t="str">
        <f>IF(ISBLANK(ElOverlogu[[#This Row],[En]]),"",SUMIF(ElOverlogu[Adı Soyadı],ElOverlogu[[#This Row],[Adı Soyadı]],ElOverlogu[TUTAR]))</f>
        <v/>
      </c>
    </row>
    <row r="35" spans="2:10" ht="15.6" thickTop="1" thickBot="1" x14ac:dyDescent="0.35">
      <c r="B35" s="15" t="str">
        <f>IF(ISBLANK(C35),"",SUBTOTAL(3, $C$3:C35))</f>
        <v/>
      </c>
      <c r="C35" s="31"/>
      <c r="D35" s="16"/>
      <c r="E35" s="17"/>
      <c r="F35" s="17"/>
      <c r="G35" s="17"/>
      <c r="H35" s="42" t="str">
        <f>IF(ISBLANK(ElOverlogu[[#This Row],[En]]),"",İşçilikler!$C$2)</f>
        <v/>
      </c>
      <c r="I35" s="42" t="str">
        <f>IF(ISBLANK(ElOverlogu[[#This Row],[En]]),"",(ElOverlogu[[#This Row],[En]]+ElOverlogu[[#This Row],[Boy]])*ElOverlogu[[#This Row],[ADET]]*2*H35/100)</f>
        <v/>
      </c>
      <c r="J35" s="43" t="str">
        <f>IF(ISBLANK(ElOverlogu[[#This Row],[En]]),"",SUMIF(ElOverlogu[Adı Soyadı],ElOverlogu[[#This Row],[Adı Soyadı]],ElOverlogu[TUTAR]))</f>
        <v/>
      </c>
    </row>
    <row r="36" spans="2:10" ht="15.6" thickTop="1" thickBot="1" x14ac:dyDescent="0.35">
      <c r="B36" s="15" t="str">
        <f>IF(ISBLANK(C36),"",SUBTOTAL(3, $C$3:C36))</f>
        <v/>
      </c>
      <c r="C36" s="31"/>
      <c r="D36" s="16"/>
      <c r="E36" s="17"/>
      <c r="F36" s="17"/>
      <c r="G36" s="17"/>
      <c r="H36" s="42" t="str">
        <f>IF(ISBLANK(ElOverlogu[[#This Row],[En]]),"",İşçilikler!$C$2)</f>
        <v/>
      </c>
      <c r="I36" s="42" t="str">
        <f>IF(ISBLANK(ElOverlogu[[#This Row],[En]]),"",(ElOverlogu[[#This Row],[En]]+ElOverlogu[[#This Row],[Boy]])*ElOverlogu[[#This Row],[ADET]]*2*H36/100)</f>
        <v/>
      </c>
      <c r="J36" s="43" t="str">
        <f>IF(ISBLANK(ElOverlogu[[#This Row],[En]]),"",SUMIF(ElOverlogu[Adı Soyadı],ElOverlogu[[#This Row],[Adı Soyadı]],ElOverlogu[TUTAR]))</f>
        <v/>
      </c>
    </row>
    <row r="37" spans="2:10" ht="15.6" thickTop="1" thickBot="1" x14ac:dyDescent="0.35">
      <c r="B37" s="15" t="str">
        <f>IF(ISBLANK(C37),"",SUBTOTAL(3, $C$3:C37))</f>
        <v/>
      </c>
      <c r="C37" s="31"/>
      <c r="D37" s="16"/>
      <c r="E37" s="17"/>
      <c r="F37" s="17"/>
      <c r="G37" s="17"/>
      <c r="H37" s="42" t="str">
        <f>IF(ISBLANK(ElOverlogu[[#This Row],[En]]),"",İşçilikler!$C$2)</f>
        <v/>
      </c>
      <c r="I37" s="42" t="str">
        <f>IF(ISBLANK(ElOverlogu[[#This Row],[En]]),"",(ElOverlogu[[#This Row],[En]]+ElOverlogu[[#This Row],[Boy]])*ElOverlogu[[#This Row],[ADET]]*2*H37/100)</f>
        <v/>
      </c>
      <c r="J37" s="43" t="str">
        <f>IF(ISBLANK(ElOverlogu[[#This Row],[En]]),"",SUMIF(ElOverlogu[Adı Soyadı],ElOverlogu[[#This Row],[Adı Soyadı]],ElOverlogu[TUTAR]))</f>
        <v/>
      </c>
    </row>
    <row r="38" spans="2:10" ht="15.6" thickTop="1" thickBot="1" x14ac:dyDescent="0.35">
      <c r="B38" s="15" t="str">
        <f>IF(ISBLANK(C38),"",SUBTOTAL(3, $C$3:C38))</f>
        <v/>
      </c>
      <c r="C38" s="31"/>
      <c r="D38" s="16"/>
      <c r="E38" s="17"/>
      <c r="F38" s="17"/>
      <c r="G38" s="17"/>
      <c r="H38" s="42" t="str">
        <f>IF(ISBLANK(ElOverlogu[[#This Row],[En]]),"",İşçilikler!$C$2)</f>
        <v/>
      </c>
      <c r="I38" s="42" t="str">
        <f>IF(ISBLANK(ElOverlogu[[#This Row],[En]]),"",(ElOverlogu[[#This Row],[En]]+ElOverlogu[[#This Row],[Boy]])*ElOverlogu[[#This Row],[ADET]]*2*H38/100)</f>
        <v/>
      </c>
      <c r="J38" s="43" t="str">
        <f>IF(ISBLANK(ElOverlogu[[#This Row],[En]]),"",SUMIF(ElOverlogu[Adı Soyadı],ElOverlogu[[#This Row],[Adı Soyadı]],ElOverlogu[TUTAR]))</f>
        <v/>
      </c>
    </row>
    <row r="39" spans="2:10" ht="15.6" thickTop="1" thickBot="1" x14ac:dyDescent="0.35">
      <c r="B39" s="15" t="str">
        <f>IF(ISBLANK(C39),"",SUBTOTAL(3, $C$3:C39))</f>
        <v/>
      </c>
      <c r="C39" s="31"/>
      <c r="D39" s="16"/>
      <c r="E39" s="17"/>
      <c r="F39" s="17"/>
      <c r="G39" s="17"/>
      <c r="H39" s="42" t="str">
        <f>IF(ISBLANK(ElOverlogu[[#This Row],[En]]),"",İşçilikler!$C$2)</f>
        <v/>
      </c>
      <c r="I39" s="42" t="str">
        <f>IF(ISBLANK(ElOverlogu[[#This Row],[En]]),"",(ElOverlogu[[#This Row],[En]]+ElOverlogu[[#This Row],[Boy]])*ElOverlogu[[#This Row],[ADET]]*2*H39/100)</f>
        <v/>
      </c>
      <c r="J39" s="43" t="str">
        <f>IF(ISBLANK(ElOverlogu[[#This Row],[En]]),"",SUMIF(ElOverlogu[Adı Soyadı],ElOverlogu[[#This Row],[Adı Soyadı]],ElOverlogu[TUTAR]))</f>
        <v/>
      </c>
    </row>
    <row r="40" spans="2:10" ht="15.6" thickTop="1" thickBot="1" x14ac:dyDescent="0.35">
      <c r="B40" s="15" t="str">
        <f>IF(ISBLANK(C40),"",SUBTOTAL(3, $C$3:C40))</f>
        <v/>
      </c>
      <c r="C40" s="31"/>
      <c r="D40" s="16"/>
      <c r="E40" s="17"/>
      <c r="F40" s="17"/>
      <c r="G40" s="17"/>
      <c r="H40" s="42" t="str">
        <f>IF(ISBLANK(ElOverlogu[[#This Row],[En]]),"",İşçilikler!$C$2)</f>
        <v/>
      </c>
      <c r="I40" s="42" t="str">
        <f>IF(ISBLANK(ElOverlogu[[#This Row],[En]]),"",(ElOverlogu[[#This Row],[En]]+ElOverlogu[[#This Row],[Boy]])*ElOverlogu[[#This Row],[ADET]]*2*H40/100)</f>
        <v/>
      </c>
      <c r="J40" s="43" t="str">
        <f>IF(ISBLANK(ElOverlogu[[#This Row],[En]]),"",SUMIF(ElOverlogu[Adı Soyadı],ElOverlogu[[#This Row],[Adı Soyadı]],ElOverlogu[TUTAR]))</f>
        <v/>
      </c>
    </row>
    <row r="41" spans="2:10" ht="15.6" thickTop="1" thickBot="1" x14ac:dyDescent="0.35">
      <c r="B41" s="15" t="str">
        <f>IF(ISBLANK(C41),"",SUBTOTAL(3, $C$3:C41))</f>
        <v/>
      </c>
      <c r="C41" s="31"/>
      <c r="D41" s="16"/>
      <c r="E41" s="17"/>
      <c r="F41" s="17"/>
      <c r="G41" s="17"/>
      <c r="H41" s="42" t="str">
        <f>IF(ISBLANK(ElOverlogu[[#This Row],[En]]),"",İşçilikler!$C$2)</f>
        <v/>
      </c>
      <c r="I41" s="42" t="str">
        <f>IF(ISBLANK(ElOverlogu[[#This Row],[En]]),"",(ElOverlogu[[#This Row],[En]]+ElOverlogu[[#This Row],[Boy]])*ElOverlogu[[#This Row],[ADET]]*2*H41/100)</f>
        <v/>
      </c>
      <c r="J41" s="43" t="str">
        <f>IF(ISBLANK(ElOverlogu[[#This Row],[En]]),"",SUMIF(ElOverlogu[Adı Soyadı],ElOverlogu[[#This Row],[Adı Soyadı]],ElOverlogu[TUTAR]))</f>
        <v/>
      </c>
    </row>
    <row r="42" spans="2:10" ht="15.6" thickTop="1" thickBot="1" x14ac:dyDescent="0.35">
      <c r="B42" s="15" t="str">
        <f>IF(ISBLANK(C42),"",SUBTOTAL(3, $C$3:C42))</f>
        <v/>
      </c>
      <c r="C42" s="31"/>
      <c r="D42" s="16"/>
      <c r="E42" s="17"/>
      <c r="F42" s="17"/>
      <c r="G42" s="17"/>
      <c r="H42" s="42" t="str">
        <f>IF(ISBLANK(ElOverlogu[[#This Row],[En]]),"",İşçilikler!$C$2)</f>
        <v/>
      </c>
      <c r="I42" s="42" t="str">
        <f>IF(ISBLANK(ElOverlogu[[#This Row],[En]]),"",(ElOverlogu[[#This Row],[En]]+ElOverlogu[[#This Row],[Boy]])*ElOverlogu[[#This Row],[ADET]]*2*H42/100)</f>
        <v/>
      </c>
      <c r="J42" s="43" t="str">
        <f>IF(ISBLANK(ElOverlogu[[#This Row],[En]]),"",SUMIF(ElOverlogu[Adı Soyadı],ElOverlogu[[#This Row],[Adı Soyadı]],ElOverlogu[TUTAR]))</f>
        <v/>
      </c>
    </row>
    <row r="43" spans="2:10" ht="15.6" thickTop="1" thickBot="1" x14ac:dyDescent="0.35">
      <c r="B43" s="15" t="str">
        <f>IF(ISBLANK(C43),"",SUBTOTAL(3, $C$3:C43))</f>
        <v/>
      </c>
      <c r="C43" s="31"/>
      <c r="D43" s="16"/>
      <c r="E43" s="17"/>
      <c r="F43" s="17"/>
      <c r="G43" s="17"/>
      <c r="H43" s="42" t="str">
        <f>IF(ISBLANK(ElOverlogu[[#This Row],[En]]),"",İşçilikler!$C$2)</f>
        <v/>
      </c>
      <c r="I43" s="42" t="str">
        <f>IF(ISBLANK(ElOverlogu[[#This Row],[En]]),"",(ElOverlogu[[#This Row],[En]]+ElOverlogu[[#This Row],[Boy]])*ElOverlogu[[#This Row],[ADET]]*2*H43/100)</f>
        <v/>
      </c>
      <c r="J43" s="43" t="str">
        <f>IF(ISBLANK(ElOverlogu[[#This Row],[En]]),"",SUMIF(ElOverlogu[Adı Soyadı],ElOverlogu[[#This Row],[Adı Soyadı]],ElOverlogu[TUTAR]))</f>
        <v/>
      </c>
    </row>
    <row r="44" spans="2:10" ht="15.6" thickTop="1" thickBot="1" x14ac:dyDescent="0.35">
      <c r="B44" s="15" t="str">
        <f>IF(ISBLANK(C44),"",SUBTOTAL(3, $C$3:C44))</f>
        <v/>
      </c>
      <c r="C44" s="31"/>
      <c r="D44" s="16"/>
      <c r="E44" s="17"/>
      <c r="F44" s="17"/>
      <c r="G44" s="17"/>
      <c r="H44" s="42" t="str">
        <f>IF(ISBLANK(ElOverlogu[[#This Row],[En]]),"",İşçilikler!$C$2)</f>
        <v/>
      </c>
      <c r="I44" s="42" t="str">
        <f>IF(ISBLANK(ElOverlogu[[#This Row],[En]]),"",(ElOverlogu[[#This Row],[En]]+ElOverlogu[[#This Row],[Boy]])*ElOverlogu[[#This Row],[ADET]]*2*H44/100)</f>
        <v/>
      </c>
      <c r="J44" s="43" t="str">
        <f>IF(ISBLANK(ElOverlogu[[#This Row],[En]]),"",SUMIF(ElOverlogu[Adı Soyadı],ElOverlogu[[#This Row],[Adı Soyadı]],ElOverlogu[TUTAR]))</f>
        <v/>
      </c>
    </row>
    <row r="45" spans="2:10" ht="15.6" thickTop="1" thickBot="1" x14ac:dyDescent="0.35">
      <c r="B45" s="15" t="str">
        <f>IF(ISBLANK(C45),"",SUBTOTAL(3, $C$3:C45))</f>
        <v/>
      </c>
      <c r="C45" s="31"/>
      <c r="D45" s="16"/>
      <c r="E45" s="17"/>
      <c r="F45" s="17"/>
      <c r="G45" s="17"/>
      <c r="H45" s="42" t="str">
        <f>IF(ISBLANK(ElOverlogu[[#This Row],[En]]),"",İşçilikler!$C$2)</f>
        <v/>
      </c>
      <c r="I45" s="42" t="str">
        <f>IF(ISBLANK(ElOverlogu[[#This Row],[En]]),"",(ElOverlogu[[#This Row],[En]]+ElOverlogu[[#This Row],[Boy]])*ElOverlogu[[#This Row],[ADET]]*2*H45/100)</f>
        <v/>
      </c>
      <c r="J45" s="43" t="str">
        <f>IF(ISBLANK(ElOverlogu[[#This Row],[En]]),"",SUMIF(ElOverlogu[Adı Soyadı],ElOverlogu[[#This Row],[Adı Soyadı]],ElOverlogu[TUTAR]))</f>
        <v/>
      </c>
    </row>
    <row r="46" spans="2:10" ht="15.6" thickTop="1" thickBot="1" x14ac:dyDescent="0.35">
      <c r="B46" s="15" t="str">
        <f>IF(ISBLANK(C46),"",SUBTOTAL(3, $C$3:C46))</f>
        <v/>
      </c>
      <c r="C46" s="31"/>
      <c r="D46" s="16"/>
      <c r="E46" s="17"/>
      <c r="F46" s="17"/>
      <c r="G46" s="17"/>
      <c r="H46" s="42" t="str">
        <f>IF(ISBLANK(ElOverlogu[[#This Row],[En]]),"",İşçilikler!$C$2)</f>
        <v/>
      </c>
      <c r="I46" s="42" t="str">
        <f>IF(ISBLANK(ElOverlogu[[#This Row],[En]]),"",(ElOverlogu[[#This Row],[En]]+ElOverlogu[[#This Row],[Boy]])*ElOverlogu[[#This Row],[ADET]]*2*H46/100)</f>
        <v/>
      </c>
      <c r="J46" s="43" t="str">
        <f>IF(ISBLANK(ElOverlogu[[#This Row],[En]]),"",SUMIF(ElOverlogu[Adı Soyadı],ElOverlogu[[#This Row],[Adı Soyadı]],ElOverlogu[TUTAR]))</f>
        <v/>
      </c>
    </row>
    <row r="47" spans="2:10" ht="15.6" thickTop="1" thickBot="1" x14ac:dyDescent="0.35">
      <c r="B47" s="15" t="str">
        <f>IF(ISBLANK(C47),"",SUBTOTAL(3, $C$3:C47))</f>
        <v/>
      </c>
      <c r="C47" s="31"/>
      <c r="D47" s="16"/>
      <c r="E47" s="17"/>
      <c r="F47" s="17"/>
      <c r="G47" s="17"/>
      <c r="H47" s="42" t="str">
        <f>IF(ISBLANK(ElOverlogu[[#This Row],[En]]),"",İşçilikler!$C$2)</f>
        <v/>
      </c>
      <c r="I47" s="42" t="str">
        <f>IF(ISBLANK(ElOverlogu[[#This Row],[En]]),"",(ElOverlogu[[#This Row],[En]]+ElOverlogu[[#This Row],[Boy]])*ElOverlogu[[#This Row],[ADET]]*2*H47/100)</f>
        <v/>
      </c>
      <c r="J47" s="43" t="str">
        <f>IF(ISBLANK(ElOverlogu[[#This Row],[En]]),"",SUMIF(ElOverlogu[Adı Soyadı],ElOverlogu[[#This Row],[Adı Soyadı]],ElOverlogu[TUTAR]))</f>
        <v/>
      </c>
    </row>
    <row r="48" spans="2:10" ht="15.6" thickTop="1" thickBot="1" x14ac:dyDescent="0.35">
      <c r="B48" s="15" t="str">
        <f>IF(ISBLANK(C48),"",SUBTOTAL(3, $C$3:C48))</f>
        <v/>
      </c>
      <c r="C48" s="31"/>
      <c r="D48" s="16"/>
      <c r="E48" s="17"/>
      <c r="F48" s="17"/>
      <c r="G48" s="17"/>
      <c r="H48" s="42" t="str">
        <f>IF(ISBLANK(ElOverlogu[[#This Row],[En]]),"",İşçilikler!$C$2)</f>
        <v/>
      </c>
      <c r="I48" s="42" t="str">
        <f>IF(ISBLANK(ElOverlogu[[#This Row],[En]]),"",(ElOverlogu[[#This Row],[En]]+ElOverlogu[[#This Row],[Boy]])*ElOverlogu[[#This Row],[ADET]]*2*H48/100)</f>
        <v/>
      </c>
      <c r="J48" s="43" t="str">
        <f>IF(ISBLANK(ElOverlogu[[#This Row],[En]]),"",SUMIF(ElOverlogu[Adı Soyadı],ElOverlogu[[#This Row],[Adı Soyadı]],ElOverlogu[TUTAR]))</f>
        <v/>
      </c>
    </row>
    <row r="49" spans="2:10" ht="15.6" thickTop="1" thickBot="1" x14ac:dyDescent="0.35">
      <c r="B49" s="15" t="str">
        <f>IF(ISBLANK(C49),"",SUBTOTAL(3, $C$3:C49))</f>
        <v/>
      </c>
      <c r="C49" s="31"/>
      <c r="D49" s="16"/>
      <c r="E49" s="17"/>
      <c r="F49" s="17"/>
      <c r="G49" s="17"/>
      <c r="H49" s="42" t="str">
        <f>IF(ISBLANK(ElOverlogu[[#This Row],[En]]),"",İşçilikler!$C$2)</f>
        <v/>
      </c>
      <c r="I49" s="42" t="str">
        <f>IF(ISBLANK(ElOverlogu[[#This Row],[En]]),"",(ElOverlogu[[#This Row],[En]]+ElOverlogu[[#This Row],[Boy]])*ElOverlogu[[#This Row],[ADET]]*2*H49/100)</f>
        <v/>
      </c>
      <c r="J49" s="43" t="str">
        <f>IF(ISBLANK(ElOverlogu[[#This Row],[En]]),"",SUMIF(ElOverlogu[Adı Soyadı],ElOverlogu[[#This Row],[Adı Soyadı]],ElOverlogu[TUTAR]))</f>
        <v/>
      </c>
    </row>
    <row r="50" spans="2:10" ht="15.6" thickTop="1" thickBot="1" x14ac:dyDescent="0.35">
      <c r="B50" s="15" t="str">
        <f>IF(ISBLANK(C50),"",SUBTOTAL(3, $C$3:C50))</f>
        <v/>
      </c>
      <c r="C50" s="31"/>
      <c r="D50" s="16"/>
      <c r="E50" s="17"/>
      <c r="F50" s="17"/>
      <c r="G50" s="17"/>
      <c r="H50" s="42" t="str">
        <f>IF(ISBLANK(ElOverlogu[[#This Row],[En]]),"",İşçilikler!$C$2)</f>
        <v/>
      </c>
      <c r="I50" s="42" t="str">
        <f>IF(ISBLANK(ElOverlogu[[#This Row],[En]]),"",(ElOverlogu[[#This Row],[En]]+ElOverlogu[[#This Row],[Boy]])*ElOverlogu[[#This Row],[ADET]]*2*H50/100)</f>
        <v/>
      </c>
      <c r="J50" s="43" t="str">
        <f>IF(ISBLANK(ElOverlogu[[#This Row],[En]]),"",SUMIF(ElOverlogu[Adı Soyadı],ElOverlogu[[#This Row],[Adı Soyadı]],ElOverlogu[TUTAR]))</f>
        <v/>
      </c>
    </row>
    <row r="51" spans="2:10" ht="15.6" thickTop="1" thickBot="1" x14ac:dyDescent="0.35">
      <c r="B51" s="15" t="str">
        <f>IF(ISBLANK(C51),"",SUBTOTAL(3, $C$3:C51))</f>
        <v/>
      </c>
      <c r="C51" s="31"/>
      <c r="D51" s="16"/>
      <c r="E51" s="17"/>
      <c r="F51" s="17"/>
      <c r="G51" s="17"/>
      <c r="H51" s="42" t="str">
        <f>IF(ISBLANK(ElOverlogu[[#This Row],[En]]),"",İşçilikler!$C$2)</f>
        <v/>
      </c>
      <c r="I51" s="42" t="str">
        <f>IF(ISBLANK(ElOverlogu[[#This Row],[En]]),"",(ElOverlogu[[#This Row],[En]]+ElOverlogu[[#This Row],[Boy]])*ElOverlogu[[#This Row],[ADET]]*2*H51/100)</f>
        <v/>
      </c>
      <c r="J51" s="43" t="str">
        <f>IF(ISBLANK(ElOverlogu[[#This Row],[En]]),"",SUMIF(ElOverlogu[Adı Soyadı],ElOverlogu[[#This Row],[Adı Soyadı]],ElOverlogu[TUTAR]))</f>
        <v/>
      </c>
    </row>
    <row r="52" spans="2:10" ht="15.6" thickTop="1" thickBot="1" x14ac:dyDescent="0.35">
      <c r="B52" s="15" t="str">
        <f>IF(ISBLANK(C52),"",SUBTOTAL(3, $C$3:C52))</f>
        <v/>
      </c>
      <c r="C52" s="31"/>
      <c r="D52" s="16"/>
      <c r="E52" s="17"/>
      <c r="F52" s="17"/>
      <c r="G52" s="17"/>
      <c r="H52" s="42" t="str">
        <f>IF(ISBLANK(ElOverlogu[[#This Row],[En]]),"",İşçilikler!$C$2)</f>
        <v/>
      </c>
      <c r="I52" s="42" t="str">
        <f>IF(ISBLANK(ElOverlogu[[#This Row],[En]]),"",(ElOverlogu[[#This Row],[En]]+ElOverlogu[[#This Row],[Boy]])*ElOverlogu[[#This Row],[ADET]]*2*H52/100)</f>
        <v/>
      </c>
      <c r="J52" s="43" t="str">
        <f>IF(ISBLANK(ElOverlogu[[#This Row],[En]]),"",SUMIF(ElOverlogu[Adı Soyadı],ElOverlogu[[#This Row],[Adı Soyadı]],ElOverlogu[TUTAR]))</f>
        <v/>
      </c>
    </row>
    <row r="53" spans="2:10" ht="15.6" thickTop="1" thickBot="1" x14ac:dyDescent="0.35">
      <c r="B53" s="15" t="str">
        <f>IF(ISBLANK(C53),"",SUBTOTAL(3, $C$3:C53))</f>
        <v/>
      </c>
      <c r="C53" s="31"/>
      <c r="D53" s="16"/>
      <c r="E53" s="17"/>
      <c r="F53" s="17"/>
      <c r="G53" s="17"/>
      <c r="H53" s="42" t="str">
        <f>IF(ISBLANK(ElOverlogu[[#This Row],[En]]),"",İşçilikler!$C$2)</f>
        <v/>
      </c>
      <c r="I53" s="42" t="str">
        <f>IF(ISBLANK(ElOverlogu[[#This Row],[En]]),"",(ElOverlogu[[#This Row],[En]]+ElOverlogu[[#This Row],[Boy]])*ElOverlogu[[#This Row],[ADET]]*2*H53/100)</f>
        <v/>
      </c>
      <c r="J53" s="43" t="str">
        <f>IF(ISBLANK(ElOverlogu[[#This Row],[En]]),"",SUMIF(ElOverlogu[Adı Soyadı],ElOverlogu[[#This Row],[Adı Soyadı]],ElOverlogu[TUTAR]))</f>
        <v/>
      </c>
    </row>
    <row r="54" spans="2:10" ht="15.6" thickTop="1" thickBot="1" x14ac:dyDescent="0.35">
      <c r="B54" s="15" t="str">
        <f>IF(ISBLANK(C54),"",SUBTOTAL(3, $C$3:C54))</f>
        <v/>
      </c>
      <c r="C54" s="31"/>
      <c r="D54" s="16"/>
      <c r="E54" s="17"/>
      <c r="F54" s="17"/>
      <c r="G54" s="17"/>
      <c r="H54" s="42" t="str">
        <f>IF(ISBLANK(ElOverlogu[[#This Row],[En]]),"",İşçilikler!$C$2)</f>
        <v/>
      </c>
      <c r="I54" s="42" t="str">
        <f>IF(ISBLANK(ElOverlogu[[#This Row],[En]]),"",(ElOverlogu[[#This Row],[En]]+ElOverlogu[[#This Row],[Boy]])*ElOverlogu[[#This Row],[ADET]]*2*H54/100)</f>
        <v/>
      </c>
      <c r="J54" s="43" t="str">
        <f>IF(ISBLANK(ElOverlogu[[#This Row],[En]]),"",SUMIF(ElOverlogu[Adı Soyadı],ElOverlogu[[#This Row],[Adı Soyadı]],ElOverlogu[TUTAR]))</f>
        <v/>
      </c>
    </row>
    <row r="55" spans="2:10" ht="15.6" thickTop="1" thickBot="1" x14ac:dyDescent="0.35">
      <c r="B55" s="15" t="str">
        <f>IF(ISBLANK(C55),"",SUBTOTAL(3, $C$3:C55))</f>
        <v/>
      </c>
      <c r="C55" s="31"/>
      <c r="D55" s="16"/>
      <c r="E55" s="17"/>
      <c r="F55" s="17"/>
      <c r="G55" s="17"/>
      <c r="H55" s="42" t="str">
        <f>IF(ISBLANK(ElOverlogu[[#This Row],[En]]),"",İşçilikler!$C$2)</f>
        <v/>
      </c>
      <c r="I55" s="42" t="str">
        <f>IF(ISBLANK(ElOverlogu[[#This Row],[En]]),"",(ElOverlogu[[#This Row],[En]]+ElOverlogu[[#This Row],[Boy]])*ElOverlogu[[#This Row],[ADET]]*2*H55/100)</f>
        <v/>
      </c>
      <c r="J55" s="43" t="str">
        <f>IF(ISBLANK(ElOverlogu[[#This Row],[En]]),"",SUMIF(ElOverlogu[Adı Soyadı],ElOverlogu[[#This Row],[Adı Soyadı]],ElOverlogu[TUTAR]))</f>
        <v/>
      </c>
    </row>
    <row r="56" spans="2:10" ht="15.6" thickTop="1" thickBot="1" x14ac:dyDescent="0.35">
      <c r="B56" s="15" t="str">
        <f>IF(ISBLANK(C56),"",SUBTOTAL(3, $C$3:C56))</f>
        <v/>
      </c>
      <c r="C56" s="31"/>
      <c r="D56" s="16"/>
      <c r="E56" s="17"/>
      <c r="F56" s="17"/>
      <c r="G56" s="17"/>
      <c r="H56" s="42" t="str">
        <f>IF(ISBLANK(ElOverlogu[[#This Row],[En]]),"",İşçilikler!$C$2)</f>
        <v/>
      </c>
      <c r="I56" s="42" t="str">
        <f>IF(ISBLANK(ElOverlogu[[#This Row],[En]]),"",(ElOverlogu[[#This Row],[En]]+ElOverlogu[[#This Row],[Boy]])*ElOverlogu[[#This Row],[ADET]]*2*H56/100)</f>
        <v/>
      </c>
      <c r="J56" s="43" t="str">
        <f>IF(ISBLANK(ElOverlogu[[#This Row],[En]]),"",SUMIF(ElOverlogu[Adı Soyadı],ElOverlogu[[#This Row],[Adı Soyadı]],ElOverlogu[TUTAR]))</f>
        <v/>
      </c>
    </row>
    <row r="57" spans="2:10" ht="15.6" thickTop="1" thickBot="1" x14ac:dyDescent="0.35">
      <c r="B57" s="15" t="str">
        <f>IF(ISBLANK(C57),"",SUBTOTAL(3, $C$3:C57))</f>
        <v/>
      </c>
      <c r="C57" s="31"/>
      <c r="D57" s="16"/>
      <c r="E57" s="17"/>
      <c r="F57" s="17"/>
      <c r="G57" s="17"/>
      <c r="H57" s="42" t="str">
        <f>IF(ISBLANK(ElOverlogu[[#This Row],[En]]),"",İşçilikler!$C$2)</f>
        <v/>
      </c>
      <c r="I57" s="42" t="str">
        <f>IF(ISBLANK(ElOverlogu[[#This Row],[En]]),"",(ElOverlogu[[#This Row],[En]]+ElOverlogu[[#This Row],[Boy]])*ElOverlogu[[#This Row],[ADET]]*2*H57/100)</f>
        <v/>
      </c>
      <c r="J57" s="43" t="str">
        <f>IF(ISBLANK(ElOverlogu[[#This Row],[En]]),"",SUMIF(ElOverlogu[Adı Soyadı],ElOverlogu[[#This Row],[Adı Soyadı]],ElOverlogu[TUTAR]))</f>
        <v/>
      </c>
    </row>
    <row r="58" spans="2:10" ht="15.6" thickTop="1" thickBot="1" x14ac:dyDescent="0.35">
      <c r="B58" s="15" t="str">
        <f>IF(ISBLANK(C58),"",SUBTOTAL(3, $C$3:C58))</f>
        <v/>
      </c>
      <c r="C58" s="31"/>
      <c r="D58" s="16"/>
      <c r="E58" s="17"/>
      <c r="F58" s="17"/>
      <c r="G58" s="17"/>
      <c r="H58" s="42" t="str">
        <f>IF(ISBLANK(ElOverlogu[[#This Row],[En]]),"",İşçilikler!$C$2)</f>
        <v/>
      </c>
      <c r="I58" s="42" t="str">
        <f>IF(ISBLANK(ElOverlogu[[#This Row],[En]]),"",(ElOverlogu[[#This Row],[En]]+ElOverlogu[[#This Row],[Boy]])*ElOverlogu[[#This Row],[ADET]]*2*H58/100)</f>
        <v/>
      </c>
      <c r="J58" s="43" t="str">
        <f>IF(ISBLANK(ElOverlogu[[#This Row],[En]]),"",SUMIF(ElOverlogu[Adı Soyadı],ElOverlogu[[#This Row],[Adı Soyadı]],ElOverlogu[TUTAR]))</f>
        <v/>
      </c>
    </row>
    <row r="59" spans="2:10" ht="15.6" thickTop="1" thickBot="1" x14ac:dyDescent="0.35">
      <c r="B59" s="15" t="str">
        <f>IF(ISBLANK(C59),"",SUBTOTAL(3, $C$3:C59))</f>
        <v/>
      </c>
      <c r="C59" s="31"/>
      <c r="D59" s="16"/>
      <c r="E59" s="17"/>
      <c r="F59" s="17"/>
      <c r="G59" s="17"/>
      <c r="H59" s="42" t="str">
        <f>IF(ISBLANK(ElOverlogu[[#This Row],[En]]),"",İşçilikler!$C$2)</f>
        <v/>
      </c>
      <c r="I59" s="42" t="str">
        <f>IF(ISBLANK(ElOverlogu[[#This Row],[En]]),"",(ElOverlogu[[#This Row],[En]]+ElOverlogu[[#This Row],[Boy]])*ElOverlogu[[#This Row],[ADET]]*2*H59/100)</f>
        <v/>
      </c>
      <c r="J59" s="43" t="str">
        <f>IF(ISBLANK(ElOverlogu[[#This Row],[En]]),"",SUMIF(ElOverlogu[Adı Soyadı],ElOverlogu[[#This Row],[Adı Soyadı]],ElOverlogu[TUTAR]))</f>
        <v/>
      </c>
    </row>
    <row r="60" spans="2:10" ht="15.6" thickTop="1" thickBot="1" x14ac:dyDescent="0.35">
      <c r="B60" s="15" t="str">
        <f>IF(ISBLANK(C60),"",SUBTOTAL(3, $C$3:C60))</f>
        <v/>
      </c>
      <c r="C60" s="31"/>
      <c r="D60" s="16"/>
      <c r="E60" s="17"/>
      <c r="F60" s="17"/>
      <c r="G60" s="17"/>
      <c r="H60" s="42" t="str">
        <f>IF(ISBLANK(ElOverlogu[[#This Row],[En]]),"",İşçilikler!$C$2)</f>
        <v/>
      </c>
      <c r="I60" s="42" t="str">
        <f>IF(ISBLANK(ElOverlogu[[#This Row],[En]]),"",(ElOverlogu[[#This Row],[En]]+ElOverlogu[[#This Row],[Boy]])*ElOverlogu[[#This Row],[ADET]]*2*H60/100)</f>
        <v/>
      </c>
      <c r="J60" s="43" t="str">
        <f>IF(ISBLANK(ElOverlogu[[#This Row],[En]]),"",SUMIF(ElOverlogu[Adı Soyadı],ElOverlogu[[#This Row],[Adı Soyadı]],ElOverlogu[TUTAR]))</f>
        <v/>
      </c>
    </row>
    <row r="61" spans="2:10" ht="15.6" thickTop="1" thickBot="1" x14ac:dyDescent="0.35">
      <c r="B61" s="15" t="str">
        <f>IF(ISBLANK(C61),"",SUBTOTAL(3, $C$3:C61))</f>
        <v/>
      </c>
      <c r="C61" s="31"/>
      <c r="D61" s="16"/>
      <c r="E61" s="17"/>
      <c r="F61" s="17"/>
      <c r="G61" s="17"/>
      <c r="H61" s="42" t="str">
        <f>IF(ISBLANK(ElOverlogu[[#This Row],[En]]),"",İşçilikler!$C$2)</f>
        <v/>
      </c>
      <c r="I61" s="42" t="str">
        <f>IF(ISBLANK(ElOverlogu[[#This Row],[En]]),"",(ElOverlogu[[#This Row],[En]]+ElOverlogu[[#This Row],[Boy]])*ElOverlogu[[#This Row],[ADET]]*2*H61/100)</f>
        <v/>
      </c>
      <c r="J61" s="43" t="str">
        <f>IF(ISBLANK(ElOverlogu[[#This Row],[En]]),"",SUMIF(ElOverlogu[Adı Soyadı],ElOverlogu[[#This Row],[Adı Soyadı]],ElOverlogu[TUTAR]))</f>
        <v/>
      </c>
    </row>
    <row r="62" spans="2:10" ht="15.6" thickTop="1" thickBot="1" x14ac:dyDescent="0.35">
      <c r="B62" s="15" t="str">
        <f>IF(ISBLANK(C62),"",SUBTOTAL(3, $C$3:C62))</f>
        <v/>
      </c>
      <c r="C62" s="31"/>
      <c r="D62" s="16"/>
      <c r="E62" s="17"/>
      <c r="F62" s="17"/>
      <c r="G62" s="17"/>
      <c r="H62" s="42" t="str">
        <f>IF(ISBLANK(ElOverlogu[[#This Row],[En]]),"",İşçilikler!$C$2)</f>
        <v/>
      </c>
      <c r="I62" s="42" t="str">
        <f>IF(ISBLANK(ElOverlogu[[#This Row],[En]]),"",(ElOverlogu[[#This Row],[En]]+ElOverlogu[[#This Row],[Boy]])*ElOverlogu[[#This Row],[ADET]]*2*H62/100)</f>
        <v/>
      </c>
      <c r="J62" s="43" t="str">
        <f>IF(ISBLANK(ElOverlogu[[#This Row],[En]]),"",SUMIF(ElOverlogu[Adı Soyadı],ElOverlogu[[#This Row],[Adı Soyadı]],ElOverlogu[TUTAR]))</f>
        <v/>
      </c>
    </row>
    <row r="63" spans="2:10" ht="15.6" thickTop="1" thickBot="1" x14ac:dyDescent="0.35">
      <c r="B63" s="15" t="str">
        <f>IF(ISBLANK(C63),"",SUBTOTAL(3, $C$3:C63))</f>
        <v/>
      </c>
      <c r="C63" s="31"/>
      <c r="D63" s="16"/>
      <c r="E63" s="17"/>
      <c r="F63" s="17"/>
      <c r="G63" s="17"/>
      <c r="H63" s="42" t="str">
        <f>IF(ISBLANK(ElOverlogu[[#This Row],[En]]),"",İşçilikler!$C$2)</f>
        <v/>
      </c>
      <c r="I63" s="42" t="str">
        <f>IF(ISBLANK(ElOverlogu[[#This Row],[En]]),"",(ElOverlogu[[#This Row],[En]]+ElOverlogu[[#This Row],[Boy]])*ElOverlogu[[#This Row],[ADET]]*2*H63/100)</f>
        <v/>
      </c>
      <c r="J63" s="43" t="str">
        <f>IF(ISBLANK(ElOverlogu[[#This Row],[En]]),"",SUMIF(ElOverlogu[Adı Soyadı],ElOverlogu[[#This Row],[Adı Soyadı]],ElOverlogu[TUTAR]))</f>
        <v/>
      </c>
    </row>
    <row r="64" spans="2:10" ht="15.6" thickTop="1" thickBot="1" x14ac:dyDescent="0.35">
      <c r="B64" s="15" t="str">
        <f>IF(ISBLANK(C64),"",SUBTOTAL(3, $C$3:C64))</f>
        <v/>
      </c>
      <c r="C64" s="31"/>
      <c r="D64" s="16"/>
      <c r="E64" s="17"/>
      <c r="F64" s="17"/>
      <c r="G64" s="17"/>
      <c r="H64" s="42" t="str">
        <f>IF(ISBLANK(ElOverlogu[[#This Row],[En]]),"",İşçilikler!$C$2)</f>
        <v/>
      </c>
      <c r="I64" s="42" t="str">
        <f>IF(ISBLANK(ElOverlogu[[#This Row],[En]]),"",(ElOverlogu[[#This Row],[En]]+ElOverlogu[[#This Row],[Boy]])*ElOverlogu[[#This Row],[ADET]]*2*H64/100)</f>
        <v/>
      </c>
      <c r="J64" s="43" t="str">
        <f>IF(ISBLANK(ElOverlogu[[#This Row],[En]]),"",SUMIF(ElOverlogu[Adı Soyadı],ElOverlogu[[#This Row],[Adı Soyadı]],ElOverlogu[TUTAR]))</f>
        <v/>
      </c>
    </row>
    <row r="65" spans="2:10" ht="15.6" thickTop="1" thickBot="1" x14ac:dyDescent="0.35">
      <c r="B65" s="15" t="str">
        <f>IF(ISBLANK(C65),"",SUBTOTAL(3, $C$3:C65))</f>
        <v/>
      </c>
      <c r="C65" s="31"/>
      <c r="D65" s="16"/>
      <c r="E65" s="17"/>
      <c r="F65" s="17"/>
      <c r="G65" s="17"/>
      <c r="H65" s="42" t="str">
        <f>IF(ISBLANK(ElOverlogu[[#This Row],[En]]),"",İşçilikler!$C$2)</f>
        <v/>
      </c>
      <c r="I65" s="42" t="str">
        <f>IF(ISBLANK(ElOverlogu[[#This Row],[En]]),"",(ElOverlogu[[#This Row],[En]]+ElOverlogu[[#This Row],[Boy]])*ElOverlogu[[#This Row],[ADET]]*2*H65/100)</f>
        <v/>
      </c>
      <c r="J65" s="43" t="str">
        <f>IF(ISBLANK(ElOverlogu[[#This Row],[En]]),"",SUMIF(ElOverlogu[Adı Soyadı],ElOverlogu[[#This Row],[Adı Soyadı]],ElOverlogu[TUTAR]))</f>
        <v/>
      </c>
    </row>
    <row r="66" spans="2:10" ht="15.6" thickTop="1" thickBot="1" x14ac:dyDescent="0.35">
      <c r="B66" s="15" t="str">
        <f>IF(ISBLANK(C66),"",SUBTOTAL(3, $C$3:C66))</f>
        <v/>
      </c>
      <c r="C66" s="31"/>
      <c r="D66" s="16"/>
      <c r="E66" s="17"/>
      <c r="F66" s="17"/>
      <c r="G66" s="17"/>
      <c r="H66" s="42" t="str">
        <f>IF(ISBLANK(ElOverlogu[[#This Row],[En]]),"",İşçilikler!$C$2)</f>
        <v/>
      </c>
      <c r="I66" s="42" t="str">
        <f>IF(ISBLANK(ElOverlogu[[#This Row],[En]]),"",(ElOverlogu[[#This Row],[En]]+ElOverlogu[[#This Row],[Boy]])*ElOverlogu[[#This Row],[ADET]]*2*H66/100)</f>
        <v/>
      </c>
      <c r="J66" s="43" t="str">
        <f>IF(ISBLANK(ElOverlogu[[#This Row],[En]]),"",SUMIF(ElOverlogu[Adı Soyadı],ElOverlogu[[#This Row],[Adı Soyadı]],ElOverlogu[TUTAR]))</f>
        <v/>
      </c>
    </row>
    <row r="67" spans="2:10" ht="15.6" thickTop="1" thickBot="1" x14ac:dyDescent="0.35">
      <c r="B67" s="15" t="str">
        <f>IF(ISBLANK(C67),"",SUBTOTAL(3, $C$3:C67))</f>
        <v/>
      </c>
      <c r="C67" s="31"/>
      <c r="D67" s="16"/>
      <c r="E67" s="17"/>
      <c r="F67" s="17"/>
      <c r="G67" s="17"/>
      <c r="H67" s="42" t="str">
        <f>IF(ISBLANK(ElOverlogu[[#This Row],[En]]),"",İşçilikler!$C$2)</f>
        <v/>
      </c>
      <c r="I67" s="42" t="str">
        <f>IF(ISBLANK(ElOverlogu[[#This Row],[En]]),"",(ElOverlogu[[#This Row],[En]]+ElOverlogu[[#This Row],[Boy]])*ElOverlogu[[#This Row],[ADET]]*2*H67/100)</f>
        <v/>
      </c>
      <c r="J67" s="43" t="str">
        <f>IF(ISBLANK(ElOverlogu[[#This Row],[En]]),"",SUMIF(ElOverlogu[Adı Soyadı],ElOverlogu[[#This Row],[Adı Soyadı]],ElOverlogu[TUTAR]))</f>
        <v/>
      </c>
    </row>
    <row r="68" spans="2:10" ht="15.6" thickTop="1" thickBot="1" x14ac:dyDescent="0.35">
      <c r="B68" s="15" t="str">
        <f>IF(ISBLANK(C68),"",SUBTOTAL(3, $C$3:C68))</f>
        <v/>
      </c>
      <c r="C68" s="31"/>
      <c r="D68" s="16"/>
      <c r="E68" s="17"/>
      <c r="F68" s="17"/>
      <c r="G68" s="17"/>
      <c r="H68" s="42" t="str">
        <f>IF(ISBLANK(ElOverlogu[[#This Row],[En]]),"",İşçilikler!$C$2)</f>
        <v/>
      </c>
      <c r="I68" s="42" t="str">
        <f>IF(ISBLANK(ElOverlogu[[#This Row],[En]]),"",(ElOverlogu[[#This Row],[En]]+ElOverlogu[[#This Row],[Boy]])*ElOverlogu[[#This Row],[ADET]]*2*H68/100)</f>
        <v/>
      </c>
      <c r="J68" s="43" t="str">
        <f>IF(ISBLANK(ElOverlogu[[#This Row],[En]]),"",SUMIF(ElOverlogu[Adı Soyadı],ElOverlogu[[#This Row],[Adı Soyadı]],ElOverlogu[TUTAR]))</f>
        <v/>
      </c>
    </row>
    <row r="69" spans="2:10" ht="15.6" thickTop="1" thickBot="1" x14ac:dyDescent="0.35">
      <c r="B69" s="15" t="str">
        <f>IF(ISBLANK(C69),"",SUBTOTAL(3, $C$3:C69))</f>
        <v/>
      </c>
      <c r="C69" s="31"/>
      <c r="D69" s="16"/>
      <c r="E69" s="17"/>
      <c r="F69" s="17"/>
      <c r="G69" s="17"/>
      <c r="H69" s="42" t="str">
        <f>IF(ISBLANK(ElOverlogu[[#This Row],[En]]),"",İşçilikler!$C$2)</f>
        <v/>
      </c>
      <c r="I69" s="42" t="str">
        <f>IF(ISBLANK(ElOverlogu[[#This Row],[En]]),"",(ElOverlogu[[#This Row],[En]]+ElOverlogu[[#This Row],[Boy]])*ElOverlogu[[#This Row],[ADET]]*2*H69/100)</f>
        <v/>
      </c>
      <c r="J69" s="43" t="str">
        <f>IF(ISBLANK(ElOverlogu[[#This Row],[En]]),"",SUMIF(ElOverlogu[Adı Soyadı],ElOverlogu[[#This Row],[Adı Soyadı]],ElOverlogu[TUTAR]))</f>
        <v/>
      </c>
    </row>
    <row r="70" spans="2:10" ht="15.6" thickTop="1" thickBot="1" x14ac:dyDescent="0.35">
      <c r="B70" s="15" t="str">
        <f>IF(ISBLANK(C70),"",SUBTOTAL(3, $C$3:C70))</f>
        <v/>
      </c>
      <c r="C70" s="31"/>
      <c r="D70" s="16"/>
      <c r="E70" s="17"/>
      <c r="F70" s="17"/>
      <c r="G70" s="17"/>
      <c r="H70" s="42" t="str">
        <f>IF(ISBLANK(ElOverlogu[[#This Row],[En]]),"",İşçilikler!$C$2)</f>
        <v/>
      </c>
      <c r="I70" s="42" t="str">
        <f>IF(ISBLANK(ElOverlogu[[#This Row],[En]]),"",(ElOverlogu[[#This Row],[En]]+ElOverlogu[[#This Row],[Boy]])*ElOverlogu[[#This Row],[ADET]]*2*H70/100)</f>
        <v/>
      </c>
      <c r="J70" s="43" t="str">
        <f>IF(ISBLANK(ElOverlogu[[#This Row],[En]]),"",SUMIF(ElOverlogu[Adı Soyadı],ElOverlogu[[#This Row],[Adı Soyadı]],ElOverlogu[TUTAR]))</f>
        <v/>
      </c>
    </row>
    <row r="71" spans="2:10" ht="15.6" thickTop="1" thickBot="1" x14ac:dyDescent="0.35">
      <c r="B71" s="15" t="str">
        <f>IF(ISBLANK(C71),"",SUBTOTAL(3, $C$3:C71))</f>
        <v/>
      </c>
      <c r="C71" s="31"/>
      <c r="D71" s="16"/>
      <c r="E71" s="17"/>
      <c r="F71" s="17"/>
      <c r="G71" s="17"/>
      <c r="H71" s="42" t="str">
        <f>IF(ISBLANK(ElOverlogu[[#This Row],[En]]),"",İşçilikler!$C$2)</f>
        <v/>
      </c>
      <c r="I71" s="42" t="str">
        <f>IF(ISBLANK(ElOverlogu[[#This Row],[En]]),"",(ElOverlogu[[#This Row],[En]]+ElOverlogu[[#This Row],[Boy]])*ElOverlogu[[#This Row],[ADET]]*2*H71/100)</f>
        <v/>
      </c>
      <c r="J71" s="43" t="str">
        <f>IF(ISBLANK(ElOverlogu[[#This Row],[En]]),"",SUMIF(ElOverlogu[Adı Soyadı],ElOverlogu[[#This Row],[Adı Soyadı]],ElOverlogu[TUTAR]))</f>
        <v/>
      </c>
    </row>
    <row r="72" spans="2:10" ht="15.6" thickTop="1" thickBot="1" x14ac:dyDescent="0.35">
      <c r="B72" s="15" t="str">
        <f>IF(ISBLANK(C72),"",SUBTOTAL(3, $C$3:C72))</f>
        <v/>
      </c>
      <c r="C72" s="31"/>
      <c r="D72" s="16"/>
      <c r="E72" s="17"/>
      <c r="F72" s="17"/>
      <c r="G72" s="17"/>
      <c r="H72" s="42" t="str">
        <f>IF(ISBLANK(ElOverlogu[[#This Row],[En]]),"",İşçilikler!$C$2)</f>
        <v/>
      </c>
      <c r="I72" s="42" t="str">
        <f>IF(ISBLANK(ElOverlogu[[#This Row],[En]]),"",(ElOverlogu[[#This Row],[En]]+ElOverlogu[[#This Row],[Boy]])*ElOverlogu[[#This Row],[ADET]]*2*H72/100)</f>
        <v/>
      </c>
      <c r="J72" s="43" t="str">
        <f>IF(ISBLANK(ElOverlogu[[#This Row],[En]]),"",SUMIF(ElOverlogu[Adı Soyadı],ElOverlogu[[#This Row],[Adı Soyadı]],ElOverlogu[TUTAR]))</f>
        <v/>
      </c>
    </row>
    <row r="73" spans="2:10" ht="15.6" thickTop="1" thickBot="1" x14ac:dyDescent="0.35">
      <c r="B73" s="15" t="str">
        <f>IF(ISBLANK(C73),"",SUBTOTAL(3, $C$3:C73))</f>
        <v/>
      </c>
      <c r="C73" s="31"/>
      <c r="D73" s="16"/>
      <c r="E73" s="17"/>
      <c r="F73" s="17"/>
      <c r="G73" s="17"/>
      <c r="H73" s="42" t="str">
        <f>IF(ISBLANK(ElOverlogu[[#This Row],[En]]),"",İşçilikler!$C$2)</f>
        <v/>
      </c>
      <c r="I73" s="42" t="str">
        <f>IF(ISBLANK(ElOverlogu[[#This Row],[En]]),"",(ElOverlogu[[#This Row],[En]]+ElOverlogu[[#This Row],[Boy]])*ElOverlogu[[#This Row],[ADET]]*2*H73/100)</f>
        <v/>
      </c>
      <c r="J73" s="43" t="str">
        <f>IF(ISBLANK(ElOverlogu[[#This Row],[En]]),"",SUMIF(ElOverlogu[Adı Soyadı],ElOverlogu[[#This Row],[Adı Soyadı]],ElOverlogu[TUTAR]))</f>
        <v/>
      </c>
    </row>
    <row r="74" spans="2:10" ht="15.6" thickTop="1" thickBot="1" x14ac:dyDescent="0.35">
      <c r="B74" s="15" t="str">
        <f>IF(ISBLANK(C74),"",SUBTOTAL(3, $C$3:C74))</f>
        <v/>
      </c>
      <c r="C74" s="31"/>
      <c r="D74" s="16"/>
      <c r="E74" s="17"/>
      <c r="F74" s="17"/>
      <c r="G74" s="17"/>
      <c r="H74" s="42" t="str">
        <f>IF(ISBLANK(ElOverlogu[[#This Row],[En]]),"",İşçilikler!$C$2)</f>
        <v/>
      </c>
      <c r="I74" s="42" t="str">
        <f>IF(ISBLANK(ElOverlogu[[#This Row],[En]]),"",(ElOverlogu[[#This Row],[En]]+ElOverlogu[[#This Row],[Boy]])*ElOverlogu[[#This Row],[ADET]]*2*H74/100)</f>
        <v/>
      </c>
      <c r="J74" s="43" t="str">
        <f>IF(ISBLANK(ElOverlogu[[#This Row],[En]]),"",SUMIF(ElOverlogu[Adı Soyadı],ElOverlogu[[#This Row],[Adı Soyadı]],ElOverlogu[TUTAR]))</f>
        <v/>
      </c>
    </row>
    <row r="75" spans="2:10" ht="15.6" thickTop="1" thickBot="1" x14ac:dyDescent="0.35">
      <c r="B75" s="15" t="str">
        <f>IF(ISBLANK(C75),"",SUBTOTAL(3, $C$3:C75))</f>
        <v/>
      </c>
      <c r="C75" s="31"/>
      <c r="D75" s="16"/>
      <c r="E75" s="17"/>
      <c r="F75" s="17"/>
      <c r="G75" s="17"/>
      <c r="H75" s="42" t="str">
        <f>IF(ISBLANK(ElOverlogu[[#This Row],[En]]),"",İşçilikler!$C$2)</f>
        <v/>
      </c>
      <c r="I75" s="42" t="str">
        <f>IF(ISBLANK(ElOverlogu[[#This Row],[En]]),"",(ElOverlogu[[#This Row],[En]]+ElOverlogu[[#This Row],[Boy]])*ElOverlogu[[#This Row],[ADET]]*2*H75/100)</f>
        <v/>
      </c>
      <c r="J75" s="43" t="str">
        <f>IF(ISBLANK(ElOverlogu[[#This Row],[En]]),"",SUMIF(ElOverlogu[Adı Soyadı],ElOverlogu[[#This Row],[Adı Soyadı]],ElOverlogu[TUTAR]))</f>
        <v/>
      </c>
    </row>
    <row r="76" spans="2:10" ht="15.6" thickTop="1" thickBot="1" x14ac:dyDescent="0.35">
      <c r="B76" s="15" t="str">
        <f>IF(ISBLANK(C76),"",SUBTOTAL(3, $C$3:C76))</f>
        <v/>
      </c>
      <c r="C76" s="31"/>
      <c r="D76" s="16"/>
      <c r="E76" s="17"/>
      <c r="F76" s="17"/>
      <c r="G76" s="17"/>
      <c r="H76" s="42" t="str">
        <f>IF(ISBLANK(ElOverlogu[[#This Row],[En]]),"",İşçilikler!$C$2)</f>
        <v/>
      </c>
      <c r="I76" s="42" t="str">
        <f>IF(ISBLANK(ElOverlogu[[#This Row],[En]]),"",(ElOverlogu[[#This Row],[En]]+ElOverlogu[[#This Row],[Boy]])*ElOverlogu[[#This Row],[ADET]]*2*H76/100)</f>
        <v/>
      </c>
      <c r="J76" s="43" t="str">
        <f>IF(ISBLANK(ElOverlogu[[#This Row],[En]]),"",SUMIF(ElOverlogu[Adı Soyadı],ElOverlogu[[#This Row],[Adı Soyadı]],ElOverlogu[TUTAR]))</f>
        <v/>
      </c>
    </row>
    <row r="77" spans="2:10" ht="15.6" thickTop="1" thickBot="1" x14ac:dyDescent="0.35">
      <c r="B77" s="10" t="str">
        <f>IF(ISBLANK(C77),"",SUBTOTAL(3, $C$3:C77))</f>
        <v/>
      </c>
      <c r="C77" s="32"/>
      <c r="D77" s="11"/>
      <c r="E77" s="12"/>
      <c r="F77" s="12"/>
      <c r="G77" s="12"/>
      <c r="H77" s="42" t="str">
        <f>IF(ISBLANK(ElOverlogu[[#This Row],[En]]),"",İşçilikler!$C$2)</f>
        <v/>
      </c>
      <c r="I77" s="45" t="str">
        <f>IF(ISBLANK(ElOverlogu[[#This Row],[En]]),"",(ElOverlogu[[#This Row],[En]]+ElOverlogu[[#This Row],[Boy]])*ElOverlogu[[#This Row],[ADET]]*2*H77/100)</f>
        <v/>
      </c>
      <c r="J77" s="13" t="str">
        <f>IF(ISBLANK(ElOverlogu[[#This Row],[En]]),"",SUMIF(ElOverlogu[Adı Soyadı],ElOverlogu[[#This Row],[Adı Soyadı]],ElOverlogu[TUTAR]))</f>
        <v/>
      </c>
    </row>
    <row r="78" spans="2:10" ht="15.6" thickTop="1" thickBot="1" x14ac:dyDescent="0.35">
      <c r="B78" s="1" t="str">
        <f>IF(ISBLANK(C78),"",SUBTOTAL(3, $C$3:C78))</f>
        <v/>
      </c>
      <c r="C78" s="33"/>
      <c r="D78" s="5"/>
      <c r="E78" s="6"/>
      <c r="F78" s="6"/>
      <c r="G78" s="6"/>
      <c r="H78" s="42" t="str">
        <f>IF(ISBLANK(ElOverlogu[[#This Row],[En]]),"",İşçilikler!$C$2)</f>
        <v/>
      </c>
      <c r="I78" s="46" t="str">
        <f>IF(ISBLANK(ElOverlogu[[#This Row],[En]]),"",(ElOverlogu[[#This Row],[En]]+ElOverlogu[[#This Row],[Boy]])*ElOverlogu[[#This Row],[ADET]]*2*H78/100)</f>
        <v/>
      </c>
      <c r="J78" s="2" t="str">
        <f>IF(ISBLANK(ElOverlogu[[#This Row],[En]]),"",SUMIF(ElOverlogu[Adı Soyadı],ElOverlogu[[#This Row],[Adı Soyadı]],ElOverlogu[TUTAR]))</f>
        <v/>
      </c>
    </row>
    <row r="79" spans="2:10" ht="15.6" thickTop="1" thickBot="1" x14ac:dyDescent="0.35">
      <c r="B79" s="1" t="str">
        <f>IF(ISBLANK(C79),"",SUBTOTAL(3, $C$3:C79))</f>
        <v/>
      </c>
      <c r="C79" s="33"/>
      <c r="D79" s="5"/>
      <c r="E79" s="6"/>
      <c r="F79" s="6"/>
      <c r="G79" s="6"/>
      <c r="H79" s="42" t="str">
        <f>IF(ISBLANK(ElOverlogu[[#This Row],[En]]),"",İşçilikler!$C$2)</f>
        <v/>
      </c>
      <c r="I79" s="46" t="str">
        <f>IF(ISBLANK(ElOverlogu[[#This Row],[En]]),"",(ElOverlogu[[#This Row],[En]]+ElOverlogu[[#This Row],[Boy]])*ElOverlogu[[#This Row],[ADET]]*2*H79/100)</f>
        <v/>
      </c>
      <c r="J79" s="2" t="str">
        <f>IF(ISBLANK(ElOverlogu[[#This Row],[En]]),"",SUMIF(ElOverlogu[Adı Soyadı],ElOverlogu[[#This Row],[Adı Soyadı]],ElOverlogu[TUTAR]))</f>
        <v/>
      </c>
    </row>
    <row r="80" spans="2:10" ht="15.6" thickTop="1" thickBot="1" x14ac:dyDescent="0.35">
      <c r="B80" s="1" t="str">
        <f>IF(ISBLANK(C80),"",SUBTOTAL(3, $C$3:C80))</f>
        <v/>
      </c>
      <c r="C80" s="33"/>
      <c r="D80" s="5"/>
      <c r="E80" s="6"/>
      <c r="F80" s="6"/>
      <c r="G80" s="6"/>
      <c r="H80" s="42" t="str">
        <f>IF(ISBLANK(ElOverlogu[[#This Row],[En]]),"",İşçilikler!$C$2)</f>
        <v/>
      </c>
      <c r="I80" s="46" t="str">
        <f>IF(ISBLANK(ElOverlogu[[#This Row],[En]]),"",(ElOverlogu[[#This Row],[En]]+ElOverlogu[[#This Row],[Boy]])*ElOverlogu[[#This Row],[ADET]]*2*H80/100)</f>
        <v/>
      </c>
      <c r="J80" s="2" t="str">
        <f>IF(ISBLANK(ElOverlogu[[#This Row],[En]]),"",SUMIF(ElOverlogu[Adı Soyadı],ElOverlogu[[#This Row],[Adı Soyadı]],ElOverlogu[TUTAR]))</f>
        <v/>
      </c>
    </row>
    <row r="81" spans="2:10" ht="15.6" thickTop="1" thickBot="1" x14ac:dyDescent="0.35">
      <c r="B81" s="1" t="str">
        <f>IF(ISBLANK(C81),"",SUBTOTAL(3, $C$3:C81))</f>
        <v/>
      </c>
      <c r="C81" s="33"/>
      <c r="D81" s="5"/>
      <c r="E81" s="6"/>
      <c r="F81" s="6"/>
      <c r="G81" s="6"/>
      <c r="H81" s="42" t="str">
        <f>IF(ISBLANK(ElOverlogu[[#This Row],[En]]),"",İşçilikler!$C$2)</f>
        <v/>
      </c>
      <c r="I81" s="46" t="str">
        <f>IF(ISBLANK(ElOverlogu[[#This Row],[En]]),"",(ElOverlogu[[#This Row],[En]]+ElOverlogu[[#This Row],[Boy]])*ElOverlogu[[#This Row],[ADET]]*2*H81/100)</f>
        <v/>
      </c>
      <c r="J81" s="2" t="str">
        <f>IF(ISBLANK(ElOverlogu[[#This Row],[En]]),"",SUMIF(ElOverlogu[Adı Soyadı],ElOverlogu[[#This Row],[Adı Soyadı]],ElOverlogu[TUTAR]))</f>
        <v/>
      </c>
    </row>
    <row r="82" spans="2:10" ht="15.6" thickTop="1" thickBot="1" x14ac:dyDescent="0.35">
      <c r="B82" s="1" t="str">
        <f>IF(ISBLANK(C82),"",SUBTOTAL(3, $C$3:C82))</f>
        <v/>
      </c>
      <c r="C82" s="33"/>
      <c r="D82" s="5"/>
      <c r="E82" s="6"/>
      <c r="F82" s="6"/>
      <c r="G82" s="6"/>
      <c r="H82" s="42" t="str">
        <f>IF(ISBLANK(ElOverlogu[[#This Row],[En]]),"",İşçilikler!$C$2)</f>
        <v/>
      </c>
      <c r="I82" s="46" t="str">
        <f>IF(ISBLANK(ElOverlogu[[#This Row],[En]]),"",(ElOverlogu[[#This Row],[En]]+ElOverlogu[[#This Row],[Boy]])*ElOverlogu[[#This Row],[ADET]]*2*H82/100)</f>
        <v/>
      </c>
      <c r="J82" s="2" t="str">
        <f>IF(ISBLANK(ElOverlogu[[#This Row],[En]]),"",SUMIF(ElOverlogu[Adı Soyadı],ElOverlogu[[#This Row],[Adı Soyadı]],ElOverlogu[TUTAR]))</f>
        <v/>
      </c>
    </row>
    <row r="83" spans="2:10" ht="15.6" thickTop="1" thickBot="1" x14ac:dyDescent="0.35">
      <c r="B83" s="1" t="str">
        <f>IF(ISBLANK(C83),"",SUBTOTAL(3, $C$3:C83))</f>
        <v/>
      </c>
      <c r="C83" s="33"/>
      <c r="D83" s="5"/>
      <c r="E83" s="6"/>
      <c r="F83" s="6"/>
      <c r="G83" s="6"/>
      <c r="H83" s="42" t="str">
        <f>IF(ISBLANK(ElOverlogu[[#This Row],[En]]),"",İşçilikler!$C$2)</f>
        <v/>
      </c>
      <c r="I83" s="46" t="str">
        <f>IF(ISBLANK(ElOverlogu[[#This Row],[En]]),"",(ElOverlogu[[#This Row],[En]]+ElOverlogu[[#This Row],[Boy]])*ElOverlogu[[#This Row],[ADET]]*2*H83/100)</f>
        <v/>
      </c>
      <c r="J83" s="2" t="str">
        <f>IF(ISBLANK(ElOverlogu[[#This Row],[En]]),"",SUMIF(ElOverlogu[Adı Soyadı],ElOverlogu[[#This Row],[Adı Soyadı]],ElOverlogu[TUTAR]))</f>
        <v/>
      </c>
    </row>
    <row r="84" spans="2:10" ht="15.6" thickTop="1" thickBot="1" x14ac:dyDescent="0.35">
      <c r="B84" s="1" t="str">
        <f>IF(ISBLANK(C84),"",SUBTOTAL(3, $C$3:C84))</f>
        <v/>
      </c>
      <c r="C84" s="33"/>
      <c r="D84" s="5"/>
      <c r="E84" s="6"/>
      <c r="F84" s="6"/>
      <c r="G84" s="6"/>
      <c r="H84" s="42" t="str">
        <f>IF(ISBLANK(ElOverlogu[[#This Row],[En]]),"",İşçilikler!$C$2)</f>
        <v/>
      </c>
      <c r="I84" s="46" t="str">
        <f>IF(ISBLANK(ElOverlogu[[#This Row],[En]]),"",(ElOverlogu[[#This Row],[En]]+ElOverlogu[[#This Row],[Boy]])*ElOverlogu[[#This Row],[ADET]]*2*H84/100)</f>
        <v/>
      </c>
      <c r="J84" s="2" t="str">
        <f>IF(ISBLANK(ElOverlogu[[#This Row],[En]]),"",SUMIF(ElOverlogu[Adı Soyadı],ElOverlogu[[#This Row],[Adı Soyadı]],ElOverlogu[TUTAR]))</f>
        <v/>
      </c>
    </row>
    <row r="85" spans="2:10" ht="15.6" thickTop="1" thickBot="1" x14ac:dyDescent="0.35">
      <c r="B85" s="1" t="str">
        <f>IF(ISBLANK(C85),"",SUBTOTAL(3, $C$3:C85))</f>
        <v/>
      </c>
      <c r="C85" s="33"/>
      <c r="D85" s="5"/>
      <c r="E85" s="6"/>
      <c r="F85" s="6"/>
      <c r="G85" s="6"/>
      <c r="H85" s="42" t="str">
        <f>IF(ISBLANK(ElOverlogu[[#This Row],[En]]),"",İşçilikler!$C$2)</f>
        <v/>
      </c>
      <c r="I85" s="46" t="str">
        <f>IF(ISBLANK(ElOverlogu[[#This Row],[En]]),"",(ElOverlogu[[#This Row],[En]]+ElOverlogu[[#This Row],[Boy]])*ElOverlogu[[#This Row],[ADET]]*2*H85/100)</f>
        <v/>
      </c>
      <c r="J85" s="2" t="str">
        <f>IF(ISBLANK(ElOverlogu[[#This Row],[En]]),"",SUMIF(ElOverlogu[Adı Soyadı],ElOverlogu[[#This Row],[Adı Soyadı]],ElOverlogu[TUTAR]))</f>
        <v/>
      </c>
    </row>
    <row r="86" spans="2:10" ht="15.6" thickTop="1" thickBot="1" x14ac:dyDescent="0.35">
      <c r="B86" s="1" t="str">
        <f>IF(ISBLANK(C86),"",SUBTOTAL(3, $C$3:C86))</f>
        <v/>
      </c>
      <c r="C86" s="33"/>
      <c r="D86" s="5"/>
      <c r="E86" s="6"/>
      <c r="F86" s="6"/>
      <c r="G86" s="6"/>
      <c r="H86" s="42" t="str">
        <f>IF(ISBLANK(ElOverlogu[[#This Row],[En]]),"",İşçilikler!$C$2)</f>
        <v/>
      </c>
      <c r="I86" s="46" t="str">
        <f>IF(ISBLANK(ElOverlogu[[#This Row],[En]]),"",(ElOverlogu[[#This Row],[En]]+ElOverlogu[[#This Row],[Boy]])*ElOverlogu[[#This Row],[ADET]]*2*H86/100)</f>
        <v/>
      </c>
      <c r="J86" s="2" t="str">
        <f>IF(ISBLANK(ElOverlogu[[#This Row],[En]]),"",SUMIF(ElOverlogu[Adı Soyadı],ElOverlogu[[#This Row],[Adı Soyadı]],ElOverlogu[TUTAR]))</f>
        <v/>
      </c>
    </row>
    <row r="87" spans="2:10" ht="15.6" thickTop="1" thickBot="1" x14ac:dyDescent="0.35">
      <c r="B87" s="1" t="str">
        <f>IF(ISBLANK(C87),"",SUBTOTAL(3, $C$3:C87))</f>
        <v/>
      </c>
      <c r="C87" s="33"/>
      <c r="D87" s="5"/>
      <c r="E87" s="6"/>
      <c r="F87" s="6"/>
      <c r="G87" s="6"/>
      <c r="H87" s="42" t="str">
        <f>IF(ISBLANK(ElOverlogu[[#This Row],[En]]),"",İşçilikler!$C$2)</f>
        <v/>
      </c>
      <c r="I87" s="46" t="str">
        <f>IF(ISBLANK(ElOverlogu[[#This Row],[En]]),"",(ElOverlogu[[#This Row],[En]]+ElOverlogu[[#This Row],[Boy]])*ElOverlogu[[#This Row],[ADET]]*2*H87/100)</f>
        <v/>
      </c>
      <c r="J87" s="2" t="str">
        <f>IF(ISBLANK(ElOverlogu[[#This Row],[En]]),"",SUMIF(ElOverlogu[Adı Soyadı],ElOverlogu[[#This Row],[Adı Soyadı]],ElOverlogu[TUTAR]))</f>
        <v/>
      </c>
    </row>
    <row r="88" spans="2:10" ht="15.6" thickTop="1" thickBot="1" x14ac:dyDescent="0.35">
      <c r="B88" s="1" t="str">
        <f>IF(ISBLANK(C88),"",SUBTOTAL(3, $C$3:C88))</f>
        <v/>
      </c>
      <c r="C88" s="33"/>
      <c r="D88" s="5"/>
      <c r="E88" s="6"/>
      <c r="F88" s="6"/>
      <c r="G88" s="6"/>
      <c r="H88" s="42" t="str">
        <f>IF(ISBLANK(ElOverlogu[[#This Row],[En]]),"",İşçilikler!$C$2)</f>
        <v/>
      </c>
      <c r="I88" s="46" t="str">
        <f>IF(ISBLANK(ElOverlogu[[#This Row],[En]]),"",(ElOverlogu[[#This Row],[En]]+ElOverlogu[[#This Row],[Boy]])*ElOverlogu[[#This Row],[ADET]]*2*H88/100)</f>
        <v/>
      </c>
      <c r="J88" s="2" t="str">
        <f>IF(ISBLANK(ElOverlogu[[#This Row],[En]]),"",SUMIF(ElOverlogu[Adı Soyadı],ElOverlogu[[#This Row],[Adı Soyadı]],ElOverlogu[TUTAR]))</f>
        <v/>
      </c>
    </row>
    <row r="89" spans="2:10" ht="15.6" thickTop="1" thickBot="1" x14ac:dyDescent="0.35">
      <c r="B89" s="1" t="str">
        <f>IF(ISBLANK(C89),"",SUBTOTAL(3, $C$3:C89))</f>
        <v/>
      </c>
      <c r="C89" s="33"/>
      <c r="D89" s="5"/>
      <c r="E89" s="6"/>
      <c r="F89" s="6"/>
      <c r="G89" s="6"/>
      <c r="H89" s="42" t="str">
        <f>IF(ISBLANK(ElOverlogu[[#This Row],[En]]),"",İşçilikler!$C$2)</f>
        <v/>
      </c>
      <c r="I89" s="46" t="str">
        <f>IF(ISBLANK(ElOverlogu[[#This Row],[En]]),"",(ElOverlogu[[#This Row],[En]]+ElOverlogu[[#This Row],[Boy]])*ElOverlogu[[#This Row],[ADET]]*2*H89/100)</f>
        <v/>
      </c>
      <c r="J89" s="2" t="str">
        <f>IF(ISBLANK(ElOverlogu[[#This Row],[En]]),"",SUMIF(ElOverlogu[Adı Soyadı],ElOverlogu[[#This Row],[Adı Soyadı]],ElOverlogu[TUTAR]))</f>
        <v/>
      </c>
    </row>
    <row r="90" spans="2:10" ht="15.6" thickTop="1" thickBot="1" x14ac:dyDescent="0.35">
      <c r="B90" s="1" t="str">
        <f>IF(ISBLANK(C90),"",SUBTOTAL(3, $C$3:C90))</f>
        <v/>
      </c>
      <c r="C90" s="33"/>
      <c r="D90" s="5"/>
      <c r="E90" s="8"/>
      <c r="F90" s="8"/>
      <c r="G90" s="8"/>
      <c r="H90" s="42" t="str">
        <f>IF(ISBLANK(ElOverlogu[[#This Row],[En]]),"",İşçilikler!$C$2)</f>
        <v/>
      </c>
      <c r="I90" s="46" t="str">
        <f>IF(ISBLANK(ElOverlogu[[#This Row],[En]]),"",(ElOverlogu[[#This Row],[En]]+ElOverlogu[[#This Row],[Boy]])*ElOverlogu[[#This Row],[ADET]]*2*H90/100)</f>
        <v/>
      </c>
      <c r="J90" s="9" t="str">
        <f>IF(ISBLANK(ElOverlogu[[#This Row],[En]]),"",SUMIF(ElOverlogu[Adı Soyadı],ElOverlogu[[#This Row],[Adı Soyadı]],ElOverlogu[TUTAR]))</f>
        <v/>
      </c>
    </row>
    <row r="91" spans="2:10" ht="15.6" thickTop="1" thickBot="1" x14ac:dyDescent="0.35">
      <c r="B91" s="1" t="str">
        <f>IF(ISBLANK(C91),"",SUBTOTAL(3, $C$3:C91))</f>
        <v/>
      </c>
      <c r="C91" s="34"/>
      <c r="D91" s="7"/>
      <c r="E91" s="8"/>
      <c r="F91" s="8"/>
      <c r="G91" s="8"/>
      <c r="H91" s="42" t="str">
        <f>IF(ISBLANK(ElOverlogu[[#This Row],[En]]),"",İşçilikler!$C$2)</f>
        <v/>
      </c>
      <c r="I91" s="46" t="str">
        <f>IF(ISBLANK(ElOverlogu[[#This Row],[En]]),"",(ElOverlogu[[#This Row],[En]]+ElOverlogu[[#This Row],[Boy]])*ElOverlogu[[#This Row],[ADET]]*2*H91/100)</f>
        <v/>
      </c>
      <c r="J91" s="9" t="str">
        <f>IF(ISBLANK(ElOverlogu[[#This Row],[En]]),"",SUMIF(ElOverlogu[Adı Soyadı],ElOverlogu[[#This Row],[Adı Soyadı]],ElOverlogu[TUTAR]))</f>
        <v/>
      </c>
    </row>
    <row r="92" spans="2:10" ht="15.6" thickTop="1" thickBot="1" x14ac:dyDescent="0.35">
      <c r="B92" s="1" t="str">
        <f>IF(ISBLANK(C92),"",SUBTOTAL(3, $C$3:C92))</f>
        <v/>
      </c>
      <c r="C92" s="34"/>
      <c r="D92" s="7"/>
      <c r="E92" s="8"/>
      <c r="F92" s="8"/>
      <c r="G92" s="8"/>
      <c r="H92" s="42" t="str">
        <f>IF(ISBLANK(ElOverlogu[[#This Row],[En]]),"",İşçilikler!$C$2)</f>
        <v/>
      </c>
      <c r="I92" s="46" t="str">
        <f>IF(ISBLANK(ElOverlogu[[#This Row],[En]]),"",(ElOverlogu[[#This Row],[En]]+ElOverlogu[[#This Row],[Boy]])*ElOverlogu[[#This Row],[ADET]]*2*H92/100)</f>
        <v/>
      </c>
      <c r="J92" s="9" t="str">
        <f>IF(ISBLANK(ElOverlogu[[#This Row],[En]]),"",SUMIF(ElOverlogu[Adı Soyadı],ElOverlogu[[#This Row],[Adı Soyadı]],ElOverlogu[TUTAR]))</f>
        <v/>
      </c>
    </row>
    <row r="93" spans="2:10" ht="15.6" thickTop="1" thickBot="1" x14ac:dyDescent="0.35">
      <c r="B93" s="1" t="str">
        <f>IF(ISBLANK(C93),"",SUBTOTAL(3, $C$3:C93))</f>
        <v/>
      </c>
      <c r="C93" s="34"/>
      <c r="D93" s="7"/>
      <c r="E93" s="8"/>
      <c r="F93" s="8"/>
      <c r="G93" s="8"/>
      <c r="H93" s="42" t="str">
        <f>IF(ISBLANK(ElOverlogu[[#This Row],[En]]),"",İşçilikler!$C$2)</f>
        <v/>
      </c>
      <c r="I93" s="46" t="str">
        <f>IF(ISBLANK(ElOverlogu[[#This Row],[En]]),"",(ElOverlogu[[#This Row],[En]]+ElOverlogu[[#This Row],[Boy]])*ElOverlogu[[#This Row],[ADET]]*2*H93/100)</f>
        <v/>
      </c>
      <c r="J93" s="9" t="str">
        <f>IF(ISBLANK(ElOverlogu[[#This Row],[En]]),"",SUMIF(ElOverlogu[Adı Soyadı],ElOverlogu[[#This Row],[Adı Soyadı]],ElOverlogu[TUTAR]))</f>
        <v/>
      </c>
    </row>
    <row r="94" spans="2:10" ht="15.6" thickTop="1" thickBot="1" x14ac:dyDescent="0.35">
      <c r="B94" s="1" t="str">
        <f>IF(ISBLANK(C94),"",SUBTOTAL(3, $C$3:C94))</f>
        <v/>
      </c>
      <c r="C94" s="34"/>
      <c r="D94" s="7"/>
      <c r="E94" s="8"/>
      <c r="F94" s="8"/>
      <c r="G94" s="8"/>
      <c r="H94" s="42" t="str">
        <f>IF(ISBLANK(ElOverlogu[[#This Row],[En]]),"",İşçilikler!$C$2)</f>
        <v/>
      </c>
      <c r="I94" s="46" t="str">
        <f>IF(ISBLANK(ElOverlogu[[#This Row],[En]]),"",(ElOverlogu[[#This Row],[En]]+ElOverlogu[[#This Row],[Boy]])*ElOverlogu[[#This Row],[ADET]]*2*H94/100)</f>
        <v/>
      </c>
      <c r="J94" s="9" t="str">
        <f>IF(ISBLANK(ElOverlogu[[#This Row],[En]]),"",SUMIF(ElOverlogu[Adı Soyadı],ElOverlogu[[#This Row],[Adı Soyadı]],ElOverlogu[TUTAR]))</f>
        <v/>
      </c>
    </row>
    <row r="95" spans="2:10" ht="15.6" thickTop="1" thickBot="1" x14ac:dyDescent="0.35">
      <c r="B95" s="1" t="str">
        <f>IF(ISBLANK(C95),"",SUBTOTAL(3, $C$3:C95))</f>
        <v/>
      </c>
      <c r="C95" s="34"/>
      <c r="D95" s="7"/>
      <c r="E95" s="8"/>
      <c r="F95" s="8"/>
      <c r="G95" s="8"/>
      <c r="H95" s="42" t="str">
        <f>IF(ISBLANK(ElOverlogu[[#This Row],[En]]),"",İşçilikler!$C$2)</f>
        <v/>
      </c>
      <c r="I95" s="46" t="str">
        <f>IF(ISBLANK(ElOverlogu[[#This Row],[En]]),"",(ElOverlogu[[#This Row],[En]]+ElOverlogu[[#This Row],[Boy]])*ElOverlogu[[#This Row],[ADET]]*2*H95/100)</f>
        <v/>
      </c>
      <c r="J95" s="9" t="str">
        <f>IF(ISBLANK(ElOverlogu[[#This Row],[En]]),"",SUMIF(ElOverlogu[Adı Soyadı],ElOverlogu[[#This Row],[Adı Soyadı]],ElOverlogu[TUTAR]))</f>
        <v/>
      </c>
    </row>
    <row r="96" spans="2:10" ht="15.6" thickTop="1" thickBot="1" x14ac:dyDescent="0.35">
      <c r="B96" s="1" t="str">
        <f>IF(ISBLANK(C96),"",SUBTOTAL(3, $C$3:C96))</f>
        <v/>
      </c>
      <c r="C96" s="34"/>
      <c r="D96" s="7"/>
      <c r="E96" s="8"/>
      <c r="F96" s="8"/>
      <c r="G96" s="8"/>
      <c r="H96" s="42" t="str">
        <f>IF(ISBLANK(ElOverlogu[[#This Row],[En]]),"",İşçilikler!$C$2)</f>
        <v/>
      </c>
      <c r="I96" s="46" t="str">
        <f>IF(ISBLANK(ElOverlogu[[#This Row],[En]]),"",(ElOverlogu[[#This Row],[En]]+ElOverlogu[[#This Row],[Boy]])*ElOverlogu[[#This Row],[ADET]]*2*H96/100)</f>
        <v/>
      </c>
      <c r="J96" s="9" t="str">
        <f>IF(ISBLANK(ElOverlogu[[#This Row],[En]]),"",SUMIF(ElOverlogu[Adı Soyadı],ElOverlogu[[#This Row],[Adı Soyadı]],ElOverlogu[TUTAR]))</f>
        <v/>
      </c>
    </row>
    <row r="97" spans="2:10" ht="15.6" thickTop="1" thickBot="1" x14ac:dyDescent="0.35">
      <c r="B97" s="4" t="str">
        <f>IF(ISBLANK(C97),"",SUBTOTAL(3, $C$3:C97))</f>
        <v/>
      </c>
      <c r="C97" s="34"/>
      <c r="D97" s="7"/>
      <c r="E97" s="8"/>
      <c r="F97" s="8"/>
      <c r="G97" s="8"/>
      <c r="H97" s="42" t="str">
        <f>IF(ISBLANK(ElOverlogu[[#This Row],[En]]),"",İşçilikler!$C$2)</f>
        <v/>
      </c>
      <c r="I97" s="47" t="str">
        <f>IF(ISBLANK(ElOverlogu[[#This Row],[En]]),"",(ElOverlogu[[#This Row],[En]]+ElOverlogu[[#This Row],[Boy]])*ElOverlogu[[#This Row],[ADET]]*2*H97/100)</f>
        <v/>
      </c>
      <c r="J97" s="9" t="str">
        <f>IF(ISBLANK(ElOverlogu[[#This Row],[En]]),"",SUMIF(ElOverlogu[Adı Soyadı],ElOverlogu[[#This Row],[Adı Soyadı]],ElOverlogu[TUTAR]))</f>
        <v/>
      </c>
    </row>
    <row r="98" spans="2:10" ht="15.6" thickTop="1" thickBot="1" x14ac:dyDescent="0.35">
      <c r="B98" s="15" t="s">
        <v>40</v>
      </c>
      <c r="C98" s="16"/>
      <c r="D98" s="16"/>
      <c r="E98" s="17"/>
      <c r="F98" s="17"/>
      <c r="G98" s="17">
        <f>SUBTOTAL(109,ElOverlogu[ADET])</f>
        <v>0</v>
      </c>
      <c r="H98" s="42"/>
      <c r="I98" s="42">
        <f>SUBTOTAL(109,ElOverlogu[TUTAR])</f>
        <v>0</v>
      </c>
      <c r="J98" s="48"/>
    </row>
    <row r="99" spans="2:10" ht="15" thickTop="1" x14ac:dyDescent="0.3"/>
  </sheetData>
  <conditionalFormatting sqref="C3:C97">
    <cfRule type="colorScale" priority="9">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'Cins'!$B$2:$B$14</xm:f>
          </x14:formula1>
          <xm:sqref>D3:D97</xm:sqref>
        </x14:dataValidation>
        <x14:dataValidation type="list" allowBlank="1" showInputMessage="1" showErrorMessage="1" xr:uid="{00000000-0002-0000-0600-000001000000}">
          <x14:formula1>
            <xm:f>Personel!$B$2:$B$59</xm:f>
          </x14:formula1>
          <xm:sqref>C3:C97</xm:sqref>
        </x14:dataValidation>
        <x14:dataValidation type="list" allowBlank="1" showInputMessage="1" showErrorMessage="1" xr:uid="{00000000-0002-0000-0600-000002000000}">
          <x14:formula1>
            <xm:f>Ölçüler!$C$2:$C$26</xm:f>
          </x14:formula1>
          <xm:sqref>F3:F97</xm:sqref>
        </x14:dataValidation>
        <x14:dataValidation type="list" allowBlank="1" showInputMessage="1" showErrorMessage="1" xr:uid="{00000000-0002-0000-0600-000003000000}">
          <x14:formula1>
            <xm:f>Ölçüler!$B$2:$B$26</xm:f>
          </x14:formula1>
          <xm:sqref>E3:E97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ayfa7">
    <tabColor rgb="FF7030A0"/>
  </sheetPr>
  <dimension ref="B1:J113"/>
  <sheetViews>
    <sheetView zoomScaleNormal="100" workbookViewId="0">
      <pane ySplit="2" topLeftCell="A3" activePane="bottomLeft" state="frozen"/>
      <selection activeCell="F31" sqref="F31"/>
      <selection pane="bottomLeft" activeCell="I3" sqref="I3"/>
    </sheetView>
  </sheetViews>
  <sheetFormatPr defaultRowHeight="14.4" x14ac:dyDescent="0.3"/>
  <cols>
    <col min="1" max="1" width="2.6640625" customWidth="1"/>
    <col min="2" max="2" width="3.88671875" style="3" customWidth="1"/>
    <col min="3" max="3" width="18.44140625" style="49" customWidth="1"/>
    <col min="4" max="5" width="9.109375" style="49" bestFit="1" customWidth="1"/>
    <col min="6" max="6" width="9.109375" style="49" customWidth="1"/>
    <col min="7" max="7" width="4.33203125" style="49" customWidth="1"/>
    <col min="8" max="8" width="8.44140625" style="3" customWidth="1"/>
    <col min="9" max="9" width="9.33203125" style="3" customWidth="1"/>
    <col min="10" max="10" width="9.6640625" bestFit="1" customWidth="1"/>
    <col min="11" max="11" width="7.33203125" customWidth="1"/>
  </cols>
  <sheetData>
    <row r="1" spans="2:10" ht="55.95" customHeight="1" thickBot="1" x14ac:dyDescent="0.35"/>
    <row r="2" spans="2:10" ht="25.95" customHeight="1" thickTop="1" thickBot="1" x14ac:dyDescent="0.35">
      <c r="B2" s="37" t="s">
        <v>18</v>
      </c>
      <c r="C2" s="38" t="s">
        <v>17</v>
      </c>
      <c r="D2" s="39" t="s">
        <v>51</v>
      </c>
      <c r="E2" s="40" t="s">
        <v>57</v>
      </c>
      <c r="F2" s="40" t="s">
        <v>58</v>
      </c>
      <c r="G2" s="41" t="s">
        <v>0</v>
      </c>
      <c r="H2" s="50" t="s">
        <v>1</v>
      </c>
      <c r="I2" s="44" t="s">
        <v>2</v>
      </c>
      <c r="J2" s="14" t="s">
        <v>43</v>
      </c>
    </row>
    <row r="3" spans="2:10" ht="15.6" thickTop="1" thickBot="1" x14ac:dyDescent="0.35">
      <c r="B3" s="15" t="str">
        <f>IF(ISBLANK(C3),"",SUBTOTAL(3, $C$3:C3))</f>
        <v/>
      </c>
      <c r="C3" s="31"/>
      <c r="D3" s="16"/>
      <c r="E3" s="17"/>
      <c r="F3" s="17"/>
      <c r="G3" s="17"/>
      <c r="H3" s="42" t="str">
        <f>IF(ISBLANK(Sacak13[[#This Row],[Adı Soyadı]]),"",İşçilikler!$C$5)</f>
        <v/>
      </c>
      <c r="I3" s="42" t="str">
        <f>IF(ISBLANK(Sacak13[[#This Row],[Adı Soyadı]]),"",Sacak13[[#This Row],[ADET]]*Sacak13[[#This Row],[BİRİM FİYAT]])</f>
        <v/>
      </c>
      <c r="J3" s="43" t="str">
        <f>IF(ISBLANK(Sacak13[[#This Row],[ADET]]),"",SUMIF(Sacak13[Adı Soyadı],Sacak13[[#This Row],[Adı Soyadı]],Sacak13[TUTAR]))</f>
        <v/>
      </c>
    </row>
    <row r="4" spans="2:10" ht="15.6" thickTop="1" thickBot="1" x14ac:dyDescent="0.35">
      <c r="B4" s="15" t="str">
        <f>IF(ISBLANK(C4),"",SUBTOTAL(3, $C$3:C4))</f>
        <v/>
      </c>
      <c r="C4" s="31"/>
      <c r="D4" s="16"/>
      <c r="E4" s="17"/>
      <c r="F4" s="17"/>
      <c r="G4" s="17"/>
      <c r="H4" s="42" t="str">
        <f>IF(ISBLANK(Sacak13[[#This Row],[Adı Soyadı]]),"",İşçilikler!$C$5)</f>
        <v/>
      </c>
      <c r="I4" s="42" t="str">
        <f>IF(ISBLANK(Sacak13[[#This Row],[Adı Soyadı]]),"",Sacak13[[#This Row],[ADET]]*Sacak13[[#This Row],[BİRİM FİYAT]])</f>
        <v/>
      </c>
      <c r="J4" s="43" t="str">
        <f>IF(ISBLANK(Sacak13[[#This Row],[ADET]]),"",SUMIF(Sacak13[Adı Soyadı],Sacak13[[#This Row],[Adı Soyadı]],Sacak13[TUTAR]))</f>
        <v/>
      </c>
    </row>
    <row r="5" spans="2:10" ht="15.6" thickTop="1" thickBot="1" x14ac:dyDescent="0.35">
      <c r="B5" s="15" t="str">
        <f>IF(ISBLANK(C5),"",SUBTOTAL(3, $C$3:C5))</f>
        <v/>
      </c>
      <c r="C5" s="31"/>
      <c r="D5" s="16"/>
      <c r="E5" s="17"/>
      <c r="F5" s="17"/>
      <c r="G5" s="17"/>
      <c r="H5" s="42" t="str">
        <f>IF(ISBLANK(Sacak13[[#This Row],[Adı Soyadı]]),"",İşçilikler!$C$5)</f>
        <v/>
      </c>
      <c r="I5" s="42" t="str">
        <f>IF(ISBLANK(Sacak13[[#This Row],[Adı Soyadı]]),"",Sacak13[[#This Row],[ADET]]*Sacak13[[#This Row],[BİRİM FİYAT]])</f>
        <v/>
      </c>
      <c r="J5" s="43" t="str">
        <f>IF(ISBLANK(Sacak13[[#This Row],[ADET]]),"",SUMIF(Sacak13[Adı Soyadı],Sacak13[[#This Row],[Adı Soyadı]],Sacak13[TUTAR]))</f>
        <v/>
      </c>
    </row>
    <row r="6" spans="2:10" ht="15.6" thickTop="1" thickBot="1" x14ac:dyDescent="0.35">
      <c r="B6" s="15" t="str">
        <f>IF(ISBLANK(C6),"",SUBTOTAL(3, $C$3:C6))</f>
        <v/>
      </c>
      <c r="C6" s="31"/>
      <c r="D6" s="16"/>
      <c r="E6" s="17"/>
      <c r="F6" s="17"/>
      <c r="G6" s="17"/>
      <c r="H6" s="42" t="str">
        <f>IF(ISBLANK(Sacak13[[#This Row],[Adı Soyadı]]),"",İşçilikler!$C$5)</f>
        <v/>
      </c>
      <c r="I6" s="42" t="str">
        <f>IF(ISBLANK(Sacak13[[#This Row],[Adı Soyadı]]),"",Sacak13[[#This Row],[ADET]]*Sacak13[[#This Row],[BİRİM FİYAT]])</f>
        <v/>
      </c>
      <c r="J6" s="43" t="str">
        <f>IF(ISBLANK(Sacak13[[#This Row],[ADET]]),"",SUMIF(Sacak13[Adı Soyadı],Sacak13[[#This Row],[Adı Soyadı]],Sacak13[TUTAR]))</f>
        <v/>
      </c>
    </row>
    <row r="7" spans="2:10" ht="15.6" thickTop="1" thickBot="1" x14ac:dyDescent="0.35">
      <c r="B7" s="15" t="str">
        <f>IF(ISBLANK(C7),"",SUBTOTAL(3, $C$3:C7))</f>
        <v/>
      </c>
      <c r="C7" s="31"/>
      <c r="D7" s="16"/>
      <c r="E7" s="17"/>
      <c r="F7" s="17"/>
      <c r="G7" s="17"/>
      <c r="H7" s="42" t="str">
        <f>IF(ISBLANK(Sacak13[[#This Row],[Adı Soyadı]]),"",İşçilikler!$C$5)</f>
        <v/>
      </c>
      <c r="I7" s="42" t="str">
        <f>IF(ISBLANK(Sacak13[[#This Row],[Adı Soyadı]]),"",Sacak13[[#This Row],[ADET]]*Sacak13[[#This Row],[BİRİM FİYAT]])</f>
        <v/>
      </c>
      <c r="J7" s="43" t="str">
        <f>IF(ISBLANK(Sacak13[[#This Row],[ADET]]),"",SUMIF(Sacak13[Adı Soyadı],Sacak13[[#This Row],[Adı Soyadı]],Sacak13[TUTAR]))</f>
        <v/>
      </c>
    </row>
    <row r="8" spans="2:10" ht="15.6" thickTop="1" thickBot="1" x14ac:dyDescent="0.35">
      <c r="B8" s="15" t="str">
        <f>IF(ISBLANK(C8),"",SUBTOTAL(3, $C$3:C8))</f>
        <v/>
      </c>
      <c r="C8" s="31"/>
      <c r="D8" s="16"/>
      <c r="E8" s="17"/>
      <c r="F8" s="17"/>
      <c r="G8" s="17"/>
      <c r="H8" s="42" t="str">
        <f>IF(ISBLANK(Sacak13[[#This Row],[Adı Soyadı]]),"",İşçilikler!$C$5)</f>
        <v/>
      </c>
      <c r="I8" s="42" t="str">
        <f>IF(ISBLANK(Sacak13[[#This Row],[Adı Soyadı]]),"",Sacak13[[#This Row],[ADET]]*Sacak13[[#This Row],[BİRİM FİYAT]])</f>
        <v/>
      </c>
      <c r="J8" s="43" t="str">
        <f>IF(ISBLANK(Sacak13[[#This Row],[ADET]]),"",SUMIF(Sacak13[Adı Soyadı],Sacak13[[#This Row],[Adı Soyadı]],Sacak13[TUTAR]))</f>
        <v/>
      </c>
    </row>
    <row r="9" spans="2:10" ht="15.6" thickTop="1" thickBot="1" x14ac:dyDescent="0.35">
      <c r="B9" s="15" t="str">
        <f>IF(ISBLANK(C9),"",SUBTOTAL(3, $C$3:C9))</f>
        <v/>
      </c>
      <c r="C9" s="31"/>
      <c r="D9" s="16"/>
      <c r="E9" s="17"/>
      <c r="F9" s="17"/>
      <c r="G9" s="17"/>
      <c r="H9" s="42" t="str">
        <f>IF(ISBLANK(Sacak13[[#This Row],[Adı Soyadı]]),"",İşçilikler!$C$5)</f>
        <v/>
      </c>
      <c r="I9" s="42" t="str">
        <f>IF(ISBLANK(Sacak13[[#This Row],[Adı Soyadı]]),"",Sacak13[[#This Row],[ADET]]*Sacak13[[#This Row],[BİRİM FİYAT]])</f>
        <v/>
      </c>
      <c r="J9" s="43" t="str">
        <f>IF(ISBLANK(Sacak13[[#This Row],[ADET]]),"",SUMIF(Sacak13[Adı Soyadı],Sacak13[[#This Row],[Adı Soyadı]],Sacak13[TUTAR]))</f>
        <v/>
      </c>
    </row>
    <row r="10" spans="2:10" ht="15.6" thickTop="1" thickBot="1" x14ac:dyDescent="0.35">
      <c r="B10" s="15" t="str">
        <f>IF(ISBLANK(C10),"",SUBTOTAL(3, $C$3:C10))</f>
        <v/>
      </c>
      <c r="C10" s="31"/>
      <c r="D10" s="16"/>
      <c r="E10" s="17"/>
      <c r="F10" s="17"/>
      <c r="G10" s="17"/>
      <c r="H10" s="42" t="str">
        <f>IF(ISBLANK(Sacak13[[#This Row],[Adı Soyadı]]),"",İşçilikler!$C$5)</f>
        <v/>
      </c>
      <c r="I10" s="42" t="str">
        <f>IF(ISBLANK(Sacak13[[#This Row],[Adı Soyadı]]),"",Sacak13[[#This Row],[ADET]]*Sacak13[[#This Row],[BİRİM FİYAT]])</f>
        <v/>
      </c>
      <c r="J10" s="43" t="str">
        <f>IF(ISBLANK(Sacak13[[#This Row],[ADET]]),"",SUMIF(Sacak13[Adı Soyadı],Sacak13[[#This Row],[Adı Soyadı]],Sacak13[TUTAR]))</f>
        <v/>
      </c>
    </row>
    <row r="11" spans="2:10" ht="15.6" thickTop="1" thickBot="1" x14ac:dyDescent="0.35">
      <c r="B11" s="15" t="str">
        <f>IF(ISBLANK(C11),"",SUBTOTAL(3, $C$3:C11))</f>
        <v/>
      </c>
      <c r="C11" s="31"/>
      <c r="D11" s="16"/>
      <c r="E11" s="17"/>
      <c r="F11" s="17"/>
      <c r="G11" s="17"/>
      <c r="H11" s="42" t="str">
        <f>IF(ISBLANK(Sacak13[[#This Row],[Adı Soyadı]]),"",İşçilikler!$C$5)</f>
        <v/>
      </c>
      <c r="I11" s="42" t="str">
        <f>IF(ISBLANK(Sacak13[[#This Row],[Adı Soyadı]]),"",Sacak13[[#This Row],[ADET]]*Sacak13[[#This Row],[BİRİM FİYAT]])</f>
        <v/>
      </c>
      <c r="J11" s="43" t="str">
        <f>IF(ISBLANK(Sacak13[[#This Row],[ADET]]),"",SUMIF(Sacak13[Adı Soyadı],Sacak13[[#This Row],[Adı Soyadı]],Sacak13[TUTAR]))</f>
        <v/>
      </c>
    </row>
    <row r="12" spans="2:10" ht="15.6" thickTop="1" thickBot="1" x14ac:dyDescent="0.35">
      <c r="B12" s="15" t="str">
        <f>IF(ISBLANK(C12),"",SUBTOTAL(3, $C$3:C12))</f>
        <v/>
      </c>
      <c r="C12" s="31"/>
      <c r="D12" s="16"/>
      <c r="E12" s="17"/>
      <c r="F12" s="17"/>
      <c r="G12" s="17"/>
      <c r="H12" s="42" t="str">
        <f>IF(ISBLANK(Sacak13[[#This Row],[Adı Soyadı]]),"",İşçilikler!$C$5)</f>
        <v/>
      </c>
      <c r="I12" s="42" t="str">
        <f>IF(ISBLANK(Sacak13[[#This Row],[Adı Soyadı]]),"",Sacak13[[#This Row],[ADET]]*Sacak13[[#This Row],[BİRİM FİYAT]])</f>
        <v/>
      </c>
      <c r="J12" s="43" t="str">
        <f>IF(ISBLANK(Sacak13[[#This Row],[ADET]]),"",SUMIF(Sacak13[Adı Soyadı],Sacak13[[#This Row],[Adı Soyadı]],Sacak13[TUTAR]))</f>
        <v/>
      </c>
    </row>
    <row r="13" spans="2:10" ht="15.6" thickTop="1" thickBot="1" x14ac:dyDescent="0.35">
      <c r="B13" s="15" t="str">
        <f>IF(ISBLANK(C13),"",SUBTOTAL(3, $C$3:C13))</f>
        <v/>
      </c>
      <c r="C13" s="31"/>
      <c r="D13" s="16"/>
      <c r="E13" s="17"/>
      <c r="F13" s="17"/>
      <c r="G13" s="17"/>
      <c r="H13" s="42" t="str">
        <f>IF(ISBLANK(Sacak13[[#This Row],[Adı Soyadı]]),"",İşçilikler!$C$5)</f>
        <v/>
      </c>
      <c r="I13" s="42" t="str">
        <f>IF(ISBLANK(Sacak13[[#This Row],[Adı Soyadı]]),"",Sacak13[[#This Row],[ADET]]*Sacak13[[#This Row],[BİRİM FİYAT]])</f>
        <v/>
      </c>
      <c r="J13" s="43" t="str">
        <f>IF(ISBLANK(Sacak13[[#This Row],[ADET]]),"",SUMIF(Sacak13[Adı Soyadı],Sacak13[[#This Row],[Adı Soyadı]],Sacak13[TUTAR]))</f>
        <v/>
      </c>
    </row>
    <row r="14" spans="2:10" ht="15.6" thickTop="1" thickBot="1" x14ac:dyDescent="0.35">
      <c r="B14" s="15" t="str">
        <f>IF(ISBLANK(C14),"",SUBTOTAL(3, $C$3:C14))</f>
        <v/>
      </c>
      <c r="C14" s="31"/>
      <c r="D14" s="16"/>
      <c r="E14" s="17"/>
      <c r="F14" s="17"/>
      <c r="G14" s="17"/>
      <c r="H14" s="42" t="str">
        <f>IF(ISBLANK(Sacak13[[#This Row],[Adı Soyadı]]),"",İşçilikler!$C$5)</f>
        <v/>
      </c>
      <c r="I14" s="42" t="str">
        <f>IF(ISBLANK(Sacak13[[#This Row],[Adı Soyadı]]),"",Sacak13[[#This Row],[ADET]]*Sacak13[[#This Row],[BİRİM FİYAT]])</f>
        <v/>
      </c>
      <c r="J14" s="43" t="str">
        <f>IF(ISBLANK(Sacak13[[#This Row],[ADET]]),"",SUMIF(Sacak13[Adı Soyadı],Sacak13[[#This Row],[Adı Soyadı]],Sacak13[TUTAR]))</f>
        <v/>
      </c>
    </row>
    <row r="15" spans="2:10" ht="15.6" thickTop="1" thickBot="1" x14ac:dyDescent="0.35">
      <c r="B15" s="15" t="str">
        <f>IF(ISBLANK(C15),"",SUBTOTAL(3, $C$3:C15))</f>
        <v/>
      </c>
      <c r="C15" s="31"/>
      <c r="D15" s="16"/>
      <c r="E15" s="17"/>
      <c r="F15" s="17"/>
      <c r="G15" s="17"/>
      <c r="H15" s="42" t="str">
        <f>IF(ISBLANK(Sacak13[[#This Row],[Adı Soyadı]]),"",İşçilikler!$C$5)</f>
        <v/>
      </c>
      <c r="I15" s="42" t="str">
        <f>IF(ISBLANK(Sacak13[[#This Row],[Adı Soyadı]]),"",Sacak13[[#This Row],[ADET]]*Sacak13[[#This Row],[BİRİM FİYAT]])</f>
        <v/>
      </c>
      <c r="J15" s="43" t="str">
        <f>IF(ISBLANK(Sacak13[[#This Row],[ADET]]),"",SUMIF(Sacak13[Adı Soyadı],Sacak13[[#This Row],[Adı Soyadı]],Sacak13[TUTAR]))</f>
        <v/>
      </c>
    </row>
    <row r="16" spans="2:10" ht="15.6" thickTop="1" thickBot="1" x14ac:dyDescent="0.35">
      <c r="B16" s="15" t="str">
        <f>IF(ISBLANK(C16),"",SUBTOTAL(3, $C$3:C16))</f>
        <v/>
      </c>
      <c r="C16" s="31"/>
      <c r="D16" s="16"/>
      <c r="E16" s="17"/>
      <c r="F16" s="17"/>
      <c r="G16" s="17"/>
      <c r="H16" s="42" t="str">
        <f>IF(ISBLANK(Sacak13[[#This Row],[Adı Soyadı]]),"",İşçilikler!$C$5)</f>
        <v/>
      </c>
      <c r="I16" s="42" t="str">
        <f>IF(ISBLANK(Sacak13[[#This Row],[Adı Soyadı]]),"",Sacak13[[#This Row],[ADET]]*Sacak13[[#This Row],[BİRİM FİYAT]])</f>
        <v/>
      </c>
      <c r="J16" s="43" t="str">
        <f>IF(ISBLANK(Sacak13[[#This Row],[ADET]]),"",SUMIF(Sacak13[Adı Soyadı],Sacak13[[#This Row],[Adı Soyadı]],Sacak13[TUTAR]))</f>
        <v/>
      </c>
    </row>
    <row r="17" spans="2:10" ht="15.6" thickTop="1" thickBot="1" x14ac:dyDescent="0.35">
      <c r="B17" s="15" t="str">
        <f>IF(ISBLANK(C17),"",SUBTOTAL(3, $C$3:C17))</f>
        <v/>
      </c>
      <c r="C17" s="31"/>
      <c r="D17" s="16"/>
      <c r="E17" s="17"/>
      <c r="F17" s="17"/>
      <c r="G17" s="17"/>
      <c r="H17" s="42" t="str">
        <f>IF(ISBLANK(Sacak13[[#This Row],[Adı Soyadı]]),"",İşçilikler!$C$5)</f>
        <v/>
      </c>
      <c r="I17" s="42" t="str">
        <f>IF(ISBLANK(Sacak13[[#This Row],[Adı Soyadı]]),"",Sacak13[[#This Row],[ADET]]*Sacak13[[#This Row],[BİRİM FİYAT]])</f>
        <v/>
      </c>
      <c r="J17" s="43" t="str">
        <f>IF(ISBLANK(Sacak13[[#This Row],[ADET]]),"",SUMIF(Sacak13[Adı Soyadı],Sacak13[[#This Row],[Adı Soyadı]],Sacak13[TUTAR]))</f>
        <v/>
      </c>
    </row>
    <row r="18" spans="2:10" ht="15.6" thickTop="1" thickBot="1" x14ac:dyDescent="0.35">
      <c r="B18" s="15" t="str">
        <f>IF(ISBLANK(C18),"",SUBTOTAL(3, $C$3:C18))</f>
        <v/>
      </c>
      <c r="C18" s="31"/>
      <c r="D18" s="16"/>
      <c r="E18" s="17"/>
      <c r="F18" s="17"/>
      <c r="G18" s="17"/>
      <c r="H18" s="42" t="str">
        <f>IF(ISBLANK(Sacak13[[#This Row],[Adı Soyadı]]),"",İşçilikler!$C$5)</f>
        <v/>
      </c>
      <c r="I18" s="42" t="str">
        <f>IF(ISBLANK(Sacak13[[#This Row],[Adı Soyadı]]),"",Sacak13[[#This Row],[ADET]]*Sacak13[[#This Row],[BİRİM FİYAT]])</f>
        <v/>
      </c>
      <c r="J18" s="43" t="str">
        <f>IF(ISBLANK(Sacak13[[#This Row],[ADET]]),"",SUMIF(Sacak13[Adı Soyadı],Sacak13[[#This Row],[Adı Soyadı]],Sacak13[TUTAR]))</f>
        <v/>
      </c>
    </row>
    <row r="19" spans="2:10" ht="15.6" thickTop="1" thickBot="1" x14ac:dyDescent="0.35">
      <c r="B19" s="15" t="str">
        <f>IF(ISBLANK(C19),"",SUBTOTAL(3, $C$3:C19))</f>
        <v/>
      </c>
      <c r="C19" s="31"/>
      <c r="D19" s="16"/>
      <c r="E19" s="17"/>
      <c r="F19" s="17"/>
      <c r="G19" s="17"/>
      <c r="H19" s="42" t="str">
        <f>IF(ISBLANK(Sacak13[[#This Row],[Adı Soyadı]]),"",İşçilikler!$C$5)</f>
        <v/>
      </c>
      <c r="I19" s="42" t="str">
        <f>IF(ISBLANK(Sacak13[[#This Row],[Adı Soyadı]]),"",Sacak13[[#This Row],[ADET]]*Sacak13[[#This Row],[BİRİM FİYAT]])</f>
        <v/>
      </c>
      <c r="J19" s="43" t="str">
        <f>IF(ISBLANK(Sacak13[[#This Row],[ADET]]),"",SUMIF(Sacak13[Adı Soyadı],Sacak13[[#This Row],[Adı Soyadı]],Sacak13[TUTAR]))</f>
        <v/>
      </c>
    </row>
    <row r="20" spans="2:10" ht="15.6" thickTop="1" thickBot="1" x14ac:dyDescent="0.35">
      <c r="B20" s="15" t="str">
        <f>IF(ISBLANK(C20),"",SUBTOTAL(3, $C$3:C20))</f>
        <v/>
      </c>
      <c r="C20" s="31"/>
      <c r="D20" s="16"/>
      <c r="E20" s="17"/>
      <c r="F20" s="17"/>
      <c r="G20" s="17"/>
      <c r="H20" s="42" t="str">
        <f>IF(ISBLANK(Sacak13[[#This Row],[Adı Soyadı]]),"",İşçilikler!$C$5)</f>
        <v/>
      </c>
      <c r="I20" s="42" t="str">
        <f>IF(ISBLANK(Sacak13[[#This Row],[Adı Soyadı]]),"",Sacak13[[#This Row],[ADET]]*Sacak13[[#This Row],[BİRİM FİYAT]])</f>
        <v/>
      </c>
      <c r="J20" s="43" t="str">
        <f>IF(ISBLANK(Sacak13[[#This Row],[ADET]]),"",SUMIF(Sacak13[Adı Soyadı],Sacak13[[#This Row],[Adı Soyadı]],Sacak13[TUTAR]))</f>
        <v/>
      </c>
    </row>
    <row r="21" spans="2:10" ht="15.6" thickTop="1" thickBot="1" x14ac:dyDescent="0.35">
      <c r="B21" s="15" t="str">
        <f>IF(ISBLANK(C21),"",SUBTOTAL(3, $C$3:C21))</f>
        <v/>
      </c>
      <c r="C21" s="31"/>
      <c r="D21" s="16"/>
      <c r="E21" s="17"/>
      <c r="F21" s="17"/>
      <c r="G21" s="17"/>
      <c r="H21" s="42" t="str">
        <f>IF(ISBLANK(Sacak13[[#This Row],[Adı Soyadı]]),"",İşçilikler!$C$5)</f>
        <v/>
      </c>
      <c r="I21" s="42" t="str">
        <f>IF(ISBLANK(Sacak13[[#This Row],[Adı Soyadı]]),"",Sacak13[[#This Row],[ADET]]*Sacak13[[#This Row],[BİRİM FİYAT]])</f>
        <v/>
      </c>
      <c r="J21" s="43" t="str">
        <f>IF(ISBLANK(Sacak13[[#This Row],[ADET]]),"",SUMIF(Sacak13[Adı Soyadı],Sacak13[[#This Row],[Adı Soyadı]],Sacak13[TUTAR]))</f>
        <v/>
      </c>
    </row>
    <row r="22" spans="2:10" ht="15.6" thickTop="1" thickBot="1" x14ac:dyDescent="0.35">
      <c r="B22" s="15" t="str">
        <f>IF(ISBLANK(C22),"",SUBTOTAL(3, $C$3:C22))</f>
        <v/>
      </c>
      <c r="C22" s="31"/>
      <c r="D22" s="16"/>
      <c r="E22" s="17"/>
      <c r="F22" s="17"/>
      <c r="G22" s="17"/>
      <c r="H22" s="42" t="str">
        <f>IF(ISBLANK(Sacak13[[#This Row],[Adı Soyadı]]),"",İşçilikler!$C$5)</f>
        <v/>
      </c>
      <c r="I22" s="42" t="str">
        <f>IF(ISBLANK(Sacak13[[#This Row],[Adı Soyadı]]),"",Sacak13[[#This Row],[ADET]]*Sacak13[[#This Row],[BİRİM FİYAT]])</f>
        <v/>
      </c>
      <c r="J22" s="43" t="str">
        <f>IF(ISBLANK(Sacak13[[#This Row],[ADET]]),"",SUMIF(Sacak13[Adı Soyadı],Sacak13[[#This Row],[Adı Soyadı]],Sacak13[TUTAR]))</f>
        <v/>
      </c>
    </row>
    <row r="23" spans="2:10" ht="15.6" thickTop="1" thickBot="1" x14ac:dyDescent="0.35">
      <c r="B23" s="15" t="str">
        <f>IF(ISBLANK(C23),"",SUBTOTAL(3, $C$3:C23))</f>
        <v/>
      </c>
      <c r="C23" s="31"/>
      <c r="D23" s="16"/>
      <c r="E23" s="17"/>
      <c r="F23" s="17"/>
      <c r="G23" s="17"/>
      <c r="H23" s="42" t="str">
        <f>IF(ISBLANK(Sacak13[[#This Row],[Adı Soyadı]]),"",İşçilikler!$C$5)</f>
        <v/>
      </c>
      <c r="I23" s="42" t="str">
        <f>IF(ISBLANK(Sacak13[[#This Row],[Adı Soyadı]]),"",Sacak13[[#This Row],[ADET]]*Sacak13[[#This Row],[BİRİM FİYAT]])</f>
        <v/>
      </c>
      <c r="J23" s="43" t="str">
        <f>IF(ISBLANK(Sacak13[[#This Row],[ADET]]),"",SUMIF(Sacak13[Adı Soyadı],Sacak13[[#This Row],[Adı Soyadı]],Sacak13[TUTAR]))</f>
        <v/>
      </c>
    </row>
    <row r="24" spans="2:10" ht="15.6" thickTop="1" thickBot="1" x14ac:dyDescent="0.35">
      <c r="B24" s="15" t="str">
        <f>IF(ISBLANK(C24),"",SUBTOTAL(3, $C$3:C24))</f>
        <v/>
      </c>
      <c r="C24" s="31"/>
      <c r="D24" s="16"/>
      <c r="E24" s="17"/>
      <c r="F24" s="17"/>
      <c r="G24" s="17"/>
      <c r="H24" s="42" t="str">
        <f>IF(ISBLANK(Sacak13[[#This Row],[Adı Soyadı]]),"",İşçilikler!$C$5)</f>
        <v/>
      </c>
      <c r="I24" s="42" t="str">
        <f>IF(ISBLANK(Sacak13[[#This Row],[Adı Soyadı]]),"",Sacak13[[#This Row],[ADET]]*Sacak13[[#This Row],[BİRİM FİYAT]])</f>
        <v/>
      </c>
      <c r="J24" s="43" t="str">
        <f>IF(ISBLANK(Sacak13[[#This Row],[ADET]]),"",SUMIF(Sacak13[Adı Soyadı],Sacak13[[#This Row],[Adı Soyadı]],Sacak13[TUTAR]))</f>
        <v/>
      </c>
    </row>
    <row r="25" spans="2:10" ht="15.6" thickTop="1" thickBot="1" x14ac:dyDescent="0.35">
      <c r="B25" s="15" t="str">
        <f>IF(ISBLANK(C25),"",SUBTOTAL(3, $C$3:C25))</f>
        <v/>
      </c>
      <c r="C25" s="31"/>
      <c r="D25" s="16"/>
      <c r="E25" s="17"/>
      <c r="F25" s="17"/>
      <c r="G25" s="17"/>
      <c r="H25" s="42" t="str">
        <f>IF(ISBLANK(Sacak13[[#This Row],[Adı Soyadı]]),"",İşçilikler!$C$5)</f>
        <v/>
      </c>
      <c r="I25" s="42" t="str">
        <f>IF(ISBLANK(Sacak13[[#This Row],[Adı Soyadı]]),"",Sacak13[[#This Row],[ADET]]*Sacak13[[#This Row],[BİRİM FİYAT]])</f>
        <v/>
      </c>
      <c r="J25" s="43" t="str">
        <f>IF(ISBLANK(Sacak13[[#This Row],[ADET]]),"",SUMIF(Sacak13[Adı Soyadı],Sacak13[[#This Row],[Adı Soyadı]],Sacak13[TUTAR]))</f>
        <v/>
      </c>
    </row>
    <row r="26" spans="2:10" ht="15.6" thickTop="1" thickBot="1" x14ac:dyDescent="0.35">
      <c r="B26" s="15" t="str">
        <f>IF(ISBLANK(C26),"",SUBTOTAL(3, $C$3:C26))</f>
        <v/>
      </c>
      <c r="C26" s="31"/>
      <c r="D26" s="16"/>
      <c r="E26" s="17"/>
      <c r="F26" s="17"/>
      <c r="G26" s="17"/>
      <c r="H26" s="42" t="str">
        <f>IF(ISBLANK(Sacak13[[#This Row],[Adı Soyadı]]),"",İşçilikler!$C$5)</f>
        <v/>
      </c>
      <c r="I26" s="42" t="str">
        <f>IF(ISBLANK(Sacak13[[#This Row],[Adı Soyadı]]),"",Sacak13[[#This Row],[ADET]]*Sacak13[[#This Row],[BİRİM FİYAT]])</f>
        <v/>
      </c>
      <c r="J26" s="43" t="str">
        <f>IF(ISBLANK(Sacak13[[#This Row],[ADET]]),"",SUMIF(Sacak13[Adı Soyadı],Sacak13[[#This Row],[Adı Soyadı]],Sacak13[TUTAR]))</f>
        <v/>
      </c>
    </row>
    <row r="27" spans="2:10" ht="15.6" thickTop="1" thickBot="1" x14ac:dyDescent="0.35">
      <c r="B27" s="15" t="str">
        <f>IF(ISBLANK(C27),"",SUBTOTAL(3, $C$3:C27))</f>
        <v/>
      </c>
      <c r="C27" s="31"/>
      <c r="D27" s="16"/>
      <c r="E27" s="17"/>
      <c r="F27" s="17"/>
      <c r="G27" s="17"/>
      <c r="H27" s="42" t="str">
        <f>IF(ISBLANK(Sacak13[[#This Row],[Adı Soyadı]]),"",İşçilikler!$C$5)</f>
        <v/>
      </c>
      <c r="I27" s="42" t="str">
        <f>IF(ISBLANK(Sacak13[[#This Row],[Adı Soyadı]]),"",Sacak13[[#This Row],[ADET]]*Sacak13[[#This Row],[BİRİM FİYAT]])</f>
        <v/>
      </c>
      <c r="J27" s="43" t="str">
        <f>IF(ISBLANK(Sacak13[[#This Row],[ADET]]),"",SUMIF(Sacak13[Adı Soyadı],Sacak13[[#This Row],[Adı Soyadı]],Sacak13[TUTAR]))</f>
        <v/>
      </c>
    </row>
    <row r="28" spans="2:10" ht="15.6" thickTop="1" thickBot="1" x14ac:dyDescent="0.35">
      <c r="B28" s="15" t="str">
        <f>IF(ISBLANK(C28),"",SUBTOTAL(3, $C$3:C28))</f>
        <v/>
      </c>
      <c r="C28" s="31"/>
      <c r="D28" s="16"/>
      <c r="E28" s="17"/>
      <c r="F28" s="17"/>
      <c r="G28" s="17"/>
      <c r="H28" s="42" t="str">
        <f>IF(ISBLANK(Sacak13[[#This Row],[Adı Soyadı]]),"",İşçilikler!$C$5)</f>
        <v/>
      </c>
      <c r="I28" s="42" t="str">
        <f>IF(ISBLANK(Sacak13[[#This Row],[Adı Soyadı]]),"",Sacak13[[#This Row],[ADET]]*Sacak13[[#This Row],[BİRİM FİYAT]])</f>
        <v/>
      </c>
      <c r="J28" s="43" t="str">
        <f>IF(ISBLANK(Sacak13[[#This Row],[ADET]]),"",SUMIF(Sacak13[Adı Soyadı],Sacak13[[#This Row],[Adı Soyadı]],Sacak13[TUTAR]))</f>
        <v/>
      </c>
    </row>
    <row r="29" spans="2:10" ht="15.6" thickTop="1" thickBot="1" x14ac:dyDescent="0.35">
      <c r="B29" s="15" t="str">
        <f>IF(ISBLANK(C29),"",SUBTOTAL(3, $C$3:C29))</f>
        <v/>
      </c>
      <c r="C29" s="31"/>
      <c r="D29" s="16"/>
      <c r="E29" s="17"/>
      <c r="F29" s="17"/>
      <c r="G29" s="17"/>
      <c r="H29" s="42" t="str">
        <f>IF(ISBLANK(Sacak13[[#This Row],[Adı Soyadı]]),"",İşçilikler!$C$5)</f>
        <v/>
      </c>
      <c r="I29" s="42" t="str">
        <f>IF(ISBLANK(Sacak13[[#This Row],[Adı Soyadı]]),"",Sacak13[[#This Row],[ADET]]*Sacak13[[#This Row],[BİRİM FİYAT]])</f>
        <v/>
      </c>
      <c r="J29" s="43" t="str">
        <f>IF(ISBLANK(Sacak13[[#This Row],[ADET]]),"",SUMIF(Sacak13[Adı Soyadı],Sacak13[[#This Row],[Adı Soyadı]],Sacak13[TUTAR]))</f>
        <v/>
      </c>
    </row>
    <row r="30" spans="2:10" ht="15.6" thickTop="1" thickBot="1" x14ac:dyDescent="0.35">
      <c r="B30" s="15" t="str">
        <f>IF(ISBLANK(C30),"",SUBTOTAL(3, $C$3:C30))</f>
        <v/>
      </c>
      <c r="C30" s="31"/>
      <c r="D30" s="16"/>
      <c r="E30" s="17"/>
      <c r="F30" s="17"/>
      <c r="G30" s="17"/>
      <c r="H30" s="42" t="str">
        <f>IF(ISBLANK(Sacak13[[#This Row],[Adı Soyadı]]),"",İşçilikler!$C$5)</f>
        <v/>
      </c>
      <c r="I30" s="42" t="str">
        <f>IF(ISBLANK(Sacak13[[#This Row],[Adı Soyadı]]),"",Sacak13[[#This Row],[ADET]]*Sacak13[[#This Row],[BİRİM FİYAT]])</f>
        <v/>
      </c>
      <c r="J30" s="43" t="str">
        <f>IF(ISBLANK(Sacak13[[#This Row],[ADET]]),"",SUMIF(Sacak13[Adı Soyadı],Sacak13[[#This Row],[Adı Soyadı]],Sacak13[TUTAR]))</f>
        <v/>
      </c>
    </row>
    <row r="31" spans="2:10" ht="15.6" thickTop="1" thickBot="1" x14ac:dyDescent="0.35">
      <c r="B31" s="15" t="str">
        <f>IF(ISBLANK(C31),"",SUBTOTAL(3, $C$3:C31))</f>
        <v/>
      </c>
      <c r="C31" s="31"/>
      <c r="D31" s="16"/>
      <c r="E31" s="17"/>
      <c r="F31" s="17"/>
      <c r="G31" s="17"/>
      <c r="H31" s="42" t="str">
        <f>IF(ISBLANK(Sacak13[[#This Row],[Adı Soyadı]]),"",İşçilikler!$C$5)</f>
        <v/>
      </c>
      <c r="I31" s="42" t="str">
        <f>IF(ISBLANK(Sacak13[[#This Row],[Adı Soyadı]]),"",Sacak13[[#This Row],[ADET]]*Sacak13[[#This Row],[BİRİM FİYAT]])</f>
        <v/>
      </c>
      <c r="J31" s="43" t="str">
        <f>IF(ISBLANK(Sacak13[[#This Row],[ADET]]),"",SUMIF(Sacak13[Adı Soyadı],Sacak13[[#This Row],[Adı Soyadı]],Sacak13[TUTAR]))</f>
        <v/>
      </c>
    </row>
    <row r="32" spans="2:10" ht="15.6" thickTop="1" thickBot="1" x14ac:dyDescent="0.35">
      <c r="B32" s="15" t="str">
        <f>IF(ISBLANK(C32),"",SUBTOTAL(3, $C$3:C32))</f>
        <v/>
      </c>
      <c r="C32" s="31"/>
      <c r="D32" s="16"/>
      <c r="E32" s="17"/>
      <c r="F32" s="17"/>
      <c r="G32" s="17"/>
      <c r="H32" s="42" t="str">
        <f>IF(ISBLANK(Sacak13[[#This Row],[Adı Soyadı]]),"",İşçilikler!$C$5)</f>
        <v/>
      </c>
      <c r="I32" s="42" t="str">
        <f>IF(ISBLANK(Sacak13[[#This Row],[Adı Soyadı]]),"",Sacak13[[#This Row],[ADET]]*Sacak13[[#This Row],[BİRİM FİYAT]])</f>
        <v/>
      </c>
      <c r="J32" s="43" t="str">
        <f>IF(ISBLANK(Sacak13[[#This Row],[ADET]]),"",SUMIF(Sacak13[Adı Soyadı],Sacak13[[#This Row],[Adı Soyadı]],Sacak13[TUTAR]))</f>
        <v/>
      </c>
    </row>
    <row r="33" spans="2:10" ht="15.6" thickTop="1" thickBot="1" x14ac:dyDescent="0.35">
      <c r="B33" s="15" t="str">
        <f>IF(ISBLANK(C33),"",SUBTOTAL(3, $C$3:C33))</f>
        <v/>
      </c>
      <c r="C33" s="31"/>
      <c r="D33" s="16"/>
      <c r="E33" s="17"/>
      <c r="F33" s="17"/>
      <c r="G33" s="17"/>
      <c r="H33" s="42" t="str">
        <f>IF(ISBLANK(Sacak13[[#This Row],[Adı Soyadı]]),"",İşçilikler!$C$5)</f>
        <v/>
      </c>
      <c r="I33" s="42" t="str">
        <f>IF(ISBLANK(Sacak13[[#This Row],[Adı Soyadı]]),"",Sacak13[[#This Row],[ADET]]*Sacak13[[#This Row],[BİRİM FİYAT]])</f>
        <v/>
      </c>
      <c r="J33" s="43" t="str">
        <f>IF(ISBLANK(Sacak13[[#This Row],[ADET]]),"",SUMIF(Sacak13[Adı Soyadı],Sacak13[[#This Row],[Adı Soyadı]],Sacak13[TUTAR]))</f>
        <v/>
      </c>
    </row>
    <row r="34" spans="2:10" ht="15.6" thickTop="1" thickBot="1" x14ac:dyDescent="0.35">
      <c r="B34" s="15" t="str">
        <f>IF(ISBLANK(C34),"",SUBTOTAL(3, $C$3:C34))</f>
        <v/>
      </c>
      <c r="C34" s="31"/>
      <c r="D34" s="16"/>
      <c r="E34" s="17"/>
      <c r="F34" s="17"/>
      <c r="G34" s="17"/>
      <c r="H34" s="42" t="str">
        <f>IF(ISBLANK(Sacak13[[#This Row],[Adı Soyadı]]),"",İşçilikler!$C$5)</f>
        <v/>
      </c>
      <c r="I34" s="42" t="str">
        <f>IF(ISBLANK(Sacak13[[#This Row],[Adı Soyadı]]),"",Sacak13[[#This Row],[ADET]]*Sacak13[[#This Row],[BİRİM FİYAT]])</f>
        <v/>
      </c>
      <c r="J34" s="43" t="str">
        <f>IF(ISBLANK(Sacak13[[#This Row],[ADET]]),"",SUMIF(Sacak13[Adı Soyadı],Sacak13[[#This Row],[Adı Soyadı]],Sacak13[TUTAR]))</f>
        <v/>
      </c>
    </row>
    <row r="35" spans="2:10" ht="15.6" thickTop="1" thickBot="1" x14ac:dyDescent="0.35">
      <c r="B35" s="15" t="str">
        <f>IF(ISBLANK(C35),"",SUBTOTAL(3, $C$3:C35))</f>
        <v/>
      </c>
      <c r="C35" s="31"/>
      <c r="D35" s="16"/>
      <c r="E35" s="17"/>
      <c r="F35" s="17"/>
      <c r="G35" s="17"/>
      <c r="H35" s="42" t="str">
        <f>IF(ISBLANK(Sacak13[[#This Row],[Adı Soyadı]]),"",İşçilikler!$C$5)</f>
        <v/>
      </c>
      <c r="I35" s="42" t="str">
        <f>IF(ISBLANK(Sacak13[[#This Row],[Adı Soyadı]]),"",Sacak13[[#This Row],[ADET]]*Sacak13[[#This Row],[BİRİM FİYAT]])</f>
        <v/>
      </c>
      <c r="J35" s="43" t="str">
        <f>IF(ISBLANK(Sacak13[[#This Row],[ADET]]),"",SUMIF(Sacak13[Adı Soyadı],Sacak13[[#This Row],[Adı Soyadı]],Sacak13[TUTAR]))</f>
        <v/>
      </c>
    </row>
    <row r="36" spans="2:10" ht="15.6" thickTop="1" thickBot="1" x14ac:dyDescent="0.35">
      <c r="B36" s="15" t="str">
        <f>IF(ISBLANK(C36),"",SUBTOTAL(3, $C$3:C36))</f>
        <v/>
      </c>
      <c r="C36" s="31"/>
      <c r="D36" s="16"/>
      <c r="E36" s="17"/>
      <c r="F36" s="17"/>
      <c r="G36" s="17"/>
      <c r="H36" s="42" t="str">
        <f>IF(ISBLANK(Sacak13[[#This Row],[Adı Soyadı]]),"",İşçilikler!$C$5)</f>
        <v/>
      </c>
      <c r="I36" s="42" t="str">
        <f>IF(ISBLANK(Sacak13[[#This Row],[Adı Soyadı]]),"",Sacak13[[#This Row],[ADET]]*Sacak13[[#This Row],[BİRİM FİYAT]])</f>
        <v/>
      </c>
      <c r="J36" s="43" t="str">
        <f>IF(ISBLANK(Sacak13[[#This Row],[ADET]]),"",SUMIF(Sacak13[Adı Soyadı],Sacak13[[#This Row],[Adı Soyadı]],Sacak13[TUTAR]))</f>
        <v/>
      </c>
    </row>
    <row r="37" spans="2:10" ht="15.6" thickTop="1" thickBot="1" x14ac:dyDescent="0.35">
      <c r="B37" s="15" t="str">
        <f>IF(ISBLANK(C37),"",SUBTOTAL(3, $C$3:C37))</f>
        <v/>
      </c>
      <c r="C37" s="31"/>
      <c r="D37" s="16"/>
      <c r="E37" s="17"/>
      <c r="F37" s="17"/>
      <c r="G37" s="17"/>
      <c r="H37" s="42" t="str">
        <f>IF(ISBLANK(Sacak13[[#This Row],[Adı Soyadı]]),"",İşçilikler!$C$5)</f>
        <v/>
      </c>
      <c r="I37" s="42" t="str">
        <f>IF(ISBLANK(Sacak13[[#This Row],[Adı Soyadı]]),"",Sacak13[[#This Row],[ADET]]*Sacak13[[#This Row],[BİRİM FİYAT]])</f>
        <v/>
      </c>
      <c r="J37" s="43" t="str">
        <f>IF(ISBLANK(Sacak13[[#This Row],[ADET]]),"",SUMIF(Sacak13[Adı Soyadı],Sacak13[[#This Row],[Adı Soyadı]],Sacak13[TUTAR]))</f>
        <v/>
      </c>
    </row>
    <row r="38" spans="2:10" ht="15.6" thickTop="1" thickBot="1" x14ac:dyDescent="0.35">
      <c r="B38" s="15" t="str">
        <f>IF(ISBLANK(C38),"",SUBTOTAL(3, $C$3:C38))</f>
        <v/>
      </c>
      <c r="C38" s="31"/>
      <c r="D38" s="16"/>
      <c r="E38" s="17"/>
      <c r="F38" s="17"/>
      <c r="G38" s="17"/>
      <c r="H38" s="42" t="str">
        <f>IF(ISBLANK(Sacak13[[#This Row],[Adı Soyadı]]),"",İşçilikler!$C$5)</f>
        <v/>
      </c>
      <c r="I38" s="42" t="str">
        <f>IF(ISBLANK(Sacak13[[#This Row],[Adı Soyadı]]),"",Sacak13[[#This Row],[ADET]]*Sacak13[[#This Row],[BİRİM FİYAT]])</f>
        <v/>
      </c>
      <c r="J38" s="43" t="str">
        <f>IF(ISBLANK(Sacak13[[#This Row],[ADET]]),"",SUMIF(Sacak13[Adı Soyadı],Sacak13[[#This Row],[Adı Soyadı]],Sacak13[TUTAR]))</f>
        <v/>
      </c>
    </row>
    <row r="39" spans="2:10" ht="15.6" thickTop="1" thickBot="1" x14ac:dyDescent="0.35">
      <c r="B39" s="15" t="str">
        <f>IF(ISBLANK(C39),"",SUBTOTAL(3, $C$3:C39))</f>
        <v/>
      </c>
      <c r="C39" s="31"/>
      <c r="D39" s="16"/>
      <c r="E39" s="17"/>
      <c r="F39" s="17"/>
      <c r="G39" s="17"/>
      <c r="H39" s="42" t="str">
        <f>IF(ISBLANK(Sacak13[[#This Row],[Adı Soyadı]]),"",İşçilikler!$C$5)</f>
        <v/>
      </c>
      <c r="I39" s="42" t="str">
        <f>IF(ISBLANK(Sacak13[[#This Row],[Adı Soyadı]]),"",Sacak13[[#This Row],[ADET]]*Sacak13[[#This Row],[BİRİM FİYAT]])</f>
        <v/>
      </c>
      <c r="J39" s="43" t="str">
        <f>IF(ISBLANK(Sacak13[[#This Row],[ADET]]),"",SUMIF(Sacak13[Adı Soyadı],Sacak13[[#This Row],[Adı Soyadı]],Sacak13[TUTAR]))</f>
        <v/>
      </c>
    </row>
    <row r="40" spans="2:10" ht="15.6" thickTop="1" thickBot="1" x14ac:dyDescent="0.35">
      <c r="B40" s="15" t="str">
        <f>IF(ISBLANK(C40),"",SUBTOTAL(3, $C$3:C40))</f>
        <v/>
      </c>
      <c r="C40" s="31"/>
      <c r="D40" s="16"/>
      <c r="E40" s="17"/>
      <c r="F40" s="17"/>
      <c r="G40" s="17"/>
      <c r="H40" s="42" t="str">
        <f>IF(ISBLANK(Sacak13[[#This Row],[Adı Soyadı]]),"",İşçilikler!$C$5)</f>
        <v/>
      </c>
      <c r="I40" s="42" t="str">
        <f>IF(ISBLANK(Sacak13[[#This Row],[Adı Soyadı]]),"",Sacak13[[#This Row],[ADET]]*Sacak13[[#This Row],[BİRİM FİYAT]])</f>
        <v/>
      </c>
      <c r="J40" s="43" t="str">
        <f>IF(ISBLANK(Sacak13[[#This Row],[ADET]]),"",SUMIF(Sacak13[Adı Soyadı],Sacak13[[#This Row],[Adı Soyadı]],Sacak13[TUTAR]))</f>
        <v/>
      </c>
    </row>
    <row r="41" spans="2:10" ht="15.6" thickTop="1" thickBot="1" x14ac:dyDescent="0.35">
      <c r="B41" s="15" t="str">
        <f>IF(ISBLANK(C41),"",SUBTOTAL(3, $C$3:C41))</f>
        <v/>
      </c>
      <c r="C41" s="31"/>
      <c r="D41" s="16"/>
      <c r="E41" s="17"/>
      <c r="F41" s="17"/>
      <c r="G41" s="17"/>
      <c r="H41" s="42" t="str">
        <f>IF(ISBLANK(Sacak13[[#This Row],[Adı Soyadı]]),"",İşçilikler!$C$5)</f>
        <v/>
      </c>
      <c r="I41" s="42" t="str">
        <f>IF(ISBLANK(Sacak13[[#This Row],[Adı Soyadı]]),"",Sacak13[[#This Row],[ADET]]*Sacak13[[#This Row],[BİRİM FİYAT]])</f>
        <v/>
      </c>
      <c r="J41" s="43" t="str">
        <f>IF(ISBLANK(Sacak13[[#This Row],[ADET]]),"",SUMIF(Sacak13[Adı Soyadı],Sacak13[[#This Row],[Adı Soyadı]],Sacak13[TUTAR]))</f>
        <v/>
      </c>
    </row>
    <row r="42" spans="2:10" ht="15.6" thickTop="1" thickBot="1" x14ac:dyDescent="0.35">
      <c r="B42" s="15" t="str">
        <f>IF(ISBLANK(C42),"",SUBTOTAL(3, $C$3:C42))</f>
        <v/>
      </c>
      <c r="C42" s="31"/>
      <c r="D42" s="16"/>
      <c r="E42" s="17"/>
      <c r="F42" s="17"/>
      <c r="G42" s="17"/>
      <c r="H42" s="42" t="str">
        <f>IF(ISBLANK(Sacak13[[#This Row],[Adı Soyadı]]),"",İşçilikler!$C$5)</f>
        <v/>
      </c>
      <c r="I42" s="42" t="str">
        <f>IF(ISBLANK(Sacak13[[#This Row],[Adı Soyadı]]),"",Sacak13[[#This Row],[ADET]]*Sacak13[[#This Row],[BİRİM FİYAT]])</f>
        <v/>
      </c>
      <c r="J42" s="43" t="str">
        <f>IF(ISBLANK(Sacak13[[#This Row],[ADET]]),"",SUMIF(Sacak13[Adı Soyadı],Sacak13[[#This Row],[Adı Soyadı]],Sacak13[TUTAR]))</f>
        <v/>
      </c>
    </row>
    <row r="43" spans="2:10" ht="15.6" thickTop="1" thickBot="1" x14ac:dyDescent="0.35">
      <c r="B43" s="15" t="str">
        <f>IF(ISBLANK(C43),"",SUBTOTAL(3, $C$3:C43))</f>
        <v/>
      </c>
      <c r="C43" s="31"/>
      <c r="D43" s="16"/>
      <c r="E43" s="17"/>
      <c r="F43" s="17"/>
      <c r="G43" s="17"/>
      <c r="H43" s="42" t="str">
        <f>IF(ISBLANK(Sacak13[[#This Row],[Adı Soyadı]]),"",İşçilikler!$C$5)</f>
        <v/>
      </c>
      <c r="I43" s="42" t="str">
        <f>IF(ISBLANK(Sacak13[[#This Row],[Adı Soyadı]]),"",Sacak13[[#This Row],[ADET]]*Sacak13[[#This Row],[BİRİM FİYAT]])</f>
        <v/>
      </c>
      <c r="J43" s="43" t="str">
        <f>IF(ISBLANK(Sacak13[[#This Row],[ADET]]),"",SUMIF(Sacak13[Adı Soyadı],Sacak13[[#This Row],[Adı Soyadı]],Sacak13[TUTAR]))</f>
        <v/>
      </c>
    </row>
    <row r="44" spans="2:10" ht="15.6" thickTop="1" thickBot="1" x14ac:dyDescent="0.35">
      <c r="B44" s="15" t="str">
        <f>IF(ISBLANK(C44),"",SUBTOTAL(3, $C$3:C44))</f>
        <v/>
      </c>
      <c r="C44" s="31"/>
      <c r="D44" s="16"/>
      <c r="E44" s="17"/>
      <c r="F44" s="17"/>
      <c r="G44" s="17"/>
      <c r="H44" s="42" t="str">
        <f>IF(ISBLANK(Sacak13[[#This Row],[Adı Soyadı]]),"",İşçilikler!$C$5)</f>
        <v/>
      </c>
      <c r="I44" s="42" t="str">
        <f>IF(ISBLANK(Sacak13[[#This Row],[Adı Soyadı]]),"",Sacak13[[#This Row],[ADET]]*Sacak13[[#This Row],[BİRİM FİYAT]])</f>
        <v/>
      </c>
      <c r="J44" s="43" t="str">
        <f>IF(ISBLANK(Sacak13[[#This Row],[ADET]]),"",SUMIF(Sacak13[Adı Soyadı],Sacak13[[#This Row],[Adı Soyadı]],Sacak13[TUTAR]))</f>
        <v/>
      </c>
    </row>
    <row r="45" spans="2:10" ht="15.6" thickTop="1" thickBot="1" x14ac:dyDescent="0.35">
      <c r="B45" s="15" t="str">
        <f>IF(ISBLANK(C45),"",SUBTOTAL(3, $C$3:C45))</f>
        <v/>
      </c>
      <c r="C45" s="31"/>
      <c r="D45" s="16"/>
      <c r="E45" s="17"/>
      <c r="F45" s="17"/>
      <c r="G45" s="17"/>
      <c r="H45" s="42" t="str">
        <f>IF(ISBLANK(Sacak13[[#This Row],[Adı Soyadı]]),"",İşçilikler!$C$5)</f>
        <v/>
      </c>
      <c r="I45" s="42" t="str">
        <f>IF(ISBLANK(Sacak13[[#This Row],[Adı Soyadı]]),"",Sacak13[[#This Row],[ADET]]*Sacak13[[#This Row],[BİRİM FİYAT]])</f>
        <v/>
      </c>
      <c r="J45" s="43" t="str">
        <f>IF(ISBLANK(Sacak13[[#This Row],[ADET]]),"",SUMIF(Sacak13[Adı Soyadı],Sacak13[[#This Row],[Adı Soyadı]],Sacak13[TUTAR]))</f>
        <v/>
      </c>
    </row>
    <row r="46" spans="2:10" ht="15.6" thickTop="1" thickBot="1" x14ac:dyDescent="0.35">
      <c r="B46" s="15" t="str">
        <f>IF(ISBLANK(C46),"",SUBTOTAL(3, $C$3:C46))</f>
        <v/>
      </c>
      <c r="C46" s="31"/>
      <c r="D46" s="16"/>
      <c r="E46" s="17"/>
      <c r="F46" s="17"/>
      <c r="G46" s="17"/>
      <c r="H46" s="42" t="str">
        <f>IF(ISBLANK(Sacak13[[#This Row],[Adı Soyadı]]),"",İşçilikler!$C$5)</f>
        <v/>
      </c>
      <c r="I46" s="42" t="str">
        <f>IF(ISBLANK(Sacak13[[#This Row],[Adı Soyadı]]),"",Sacak13[[#This Row],[ADET]]*Sacak13[[#This Row],[BİRİM FİYAT]])</f>
        <v/>
      </c>
      <c r="J46" s="43" t="str">
        <f>IF(ISBLANK(Sacak13[[#This Row],[ADET]]),"",SUMIF(Sacak13[Adı Soyadı],Sacak13[[#This Row],[Adı Soyadı]],Sacak13[TUTAR]))</f>
        <v/>
      </c>
    </row>
    <row r="47" spans="2:10" ht="15.6" thickTop="1" thickBot="1" x14ac:dyDescent="0.35">
      <c r="B47" s="15" t="str">
        <f>IF(ISBLANK(C47),"",SUBTOTAL(3, $C$3:C47))</f>
        <v/>
      </c>
      <c r="C47" s="31"/>
      <c r="D47" s="16"/>
      <c r="E47" s="17"/>
      <c r="F47" s="17"/>
      <c r="G47" s="17"/>
      <c r="H47" s="42" t="str">
        <f>IF(ISBLANK(Sacak13[[#This Row],[Adı Soyadı]]),"",İşçilikler!$C$5)</f>
        <v/>
      </c>
      <c r="I47" s="42" t="str">
        <f>IF(ISBLANK(Sacak13[[#This Row],[Adı Soyadı]]),"",Sacak13[[#This Row],[ADET]]*Sacak13[[#This Row],[BİRİM FİYAT]])</f>
        <v/>
      </c>
      <c r="J47" s="43" t="str">
        <f>IF(ISBLANK(Sacak13[[#This Row],[ADET]]),"",SUMIF(Sacak13[Adı Soyadı],Sacak13[[#This Row],[Adı Soyadı]],Sacak13[TUTAR]))</f>
        <v/>
      </c>
    </row>
    <row r="48" spans="2:10" ht="15.6" thickTop="1" thickBot="1" x14ac:dyDescent="0.35">
      <c r="B48" s="15" t="str">
        <f>IF(ISBLANK(C48),"",SUBTOTAL(3, $C$3:C48))</f>
        <v/>
      </c>
      <c r="C48" s="31"/>
      <c r="D48" s="16"/>
      <c r="E48" s="17"/>
      <c r="F48" s="17"/>
      <c r="G48" s="17"/>
      <c r="H48" s="42" t="str">
        <f>IF(ISBLANK(Sacak13[[#This Row],[Adı Soyadı]]),"",İşçilikler!$C$5)</f>
        <v/>
      </c>
      <c r="I48" s="42" t="str">
        <f>IF(ISBLANK(Sacak13[[#This Row],[Adı Soyadı]]),"",Sacak13[[#This Row],[ADET]]*Sacak13[[#This Row],[BİRİM FİYAT]])</f>
        <v/>
      </c>
      <c r="J48" s="43" t="str">
        <f>IF(ISBLANK(Sacak13[[#This Row],[ADET]]),"",SUMIF(Sacak13[Adı Soyadı],Sacak13[[#This Row],[Adı Soyadı]],Sacak13[TUTAR]))</f>
        <v/>
      </c>
    </row>
    <row r="49" spans="2:10" ht="15.6" thickTop="1" thickBot="1" x14ac:dyDescent="0.35">
      <c r="B49" s="15" t="str">
        <f>IF(ISBLANK(C49),"",SUBTOTAL(3, $C$3:C49))</f>
        <v/>
      </c>
      <c r="C49" s="31"/>
      <c r="D49" s="16"/>
      <c r="E49" s="17"/>
      <c r="F49" s="17"/>
      <c r="G49" s="17"/>
      <c r="H49" s="42" t="str">
        <f>IF(ISBLANK(Sacak13[[#This Row],[Adı Soyadı]]),"",İşçilikler!$C$5)</f>
        <v/>
      </c>
      <c r="I49" s="42" t="str">
        <f>IF(ISBLANK(Sacak13[[#This Row],[Adı Soyadı]]),"",Sacak13[[#This Row],[ADET]]*Sacak13[[#This Row],[BİRİM FİYAT]])</f>
        <v/>
      </c>
      <c r="J49" s="43" t="str">
        <f>IF(ISBLANK(Sacak13[[#This Row],[ADET]]),"",SUMIF(Sacak13[Adı Soyadı],Sacak13[[#This Row],[Adı Soyadı]],Sacak13[TUTAR]))</f>
        <v/>
      </c>
    </row>
    <row r="50" spans="2:10" ht="15.6" thickTop="1" thickBot="1" x14ac:dyDescent="0.35">
      <c r="B50" s="15" t="str">
        <f>IF(ISBLANK(C50),"",SUBTOTAL(3, $C$3:C50))</f>
        <v/>
      </c>
      <c r="C50" s="31"/>
      <c r="D50" s="16"/>
      <c r="E50" s="17"/>
      <c r="F50" s="17"/>
      <c r="G50" s="17"/>
      <c r="H50" s="42" t="str">
        <f>IF(ISBLANK(Sacak13[[#This Row],[Adı Soyadı]]),"",İşçilikler!$C$5)</f>
        <v/>
      </c>
      <c r="I50" s="42" t="str">
        <f>IF(ISBLANK(Sacak13[[#This Row],[Adı Soyadı]]),"",Sacak13[[#This Row],[ADET]]*Sacak13[[#This Row],[BİRİM FİYAT]])</f>
        <v/>
      </c>
      <c r="J50" s="43" t="str">
        <f>IF(ISBLANK(Sacak13[[#This Row],[ADET]]),"",SUMIF(Sacak13[Adı Soyadı],Sacak13[[#This Row],[Adı Soyadı]],Sacak13[TUTAR]))</f>
        <v/>
      </c>
    </row>
    <row r="51" spans="2:10" ht="15.6" thickTop="1" thickBot="1" x14ac:dyDescent="0.35">
      <c r="B51" s="15" t="str">
        <f>IF(ISBLANK(C51),"",SUBTOTAL(3, $C$3:C51))</f>
        <v/>
      </c>
      <c r="C51" s="31"/>
      <c r="D51" s="16"/>
      <c r="E51" s="17"/>
      <c r="F51" s="17"/>
      <c r="G51" s="17"/>
      <c r="H51" s="42" t="str">
        <f>IF(ISBLANK(Sacak13[[#This Row],[Adı Soyadı]]),"",İşçilikler!$C$5)</f>
        <v/>
      </c>
      <c r="I51" s="42" t="str">
        <f>IF(ISBLANK(Sacak13[[#This Row],[Adı Soyadı]]),"",Sacak13[[#This Row],[ADET]]*Sacak13[[#This Row],[BİRİM FİYAT]])</f>
        <v/>
      </c>
      <c r="J51" s="43" t="str">
        <f>IF(ISBLANK(Sacak13[[#This Row],[ADET]]),"",SUMIF(Sacak13[Adı Soyadı],Sacak13[[#This Row],[Adı Soyadı]],Sacak13[TUTAR]))</f>
        <v/>
      </c>
    </row>
    <row r="52" spans="2:10" ht="15.6" thickTop="1" thickBot="1" x14ac:dyDescent="0.35">
      <c r="B52" s="15" t="str">
        <f>IF(ISBLANK(C52),"",SUBTOTAL(3, $C$3:C52))</f>
        <v/>
      </c>
      <c r="C52" s="31"/>
      <c r="D52" s="16"/>
      <c r="E52" s="17"/>
      <c r="F52" s="17"/>
      <c r="G52" s="17"/>
      <c r="H52" s="42" t="str">
        <f>IF(ISBLANK(Sacak13[[#This Row],[Adı Soyadı]]),"",İşçilikler!$C$5)</f>
        <v/>
      </c>
      <c r="I52" s="42" t="str">
        <f>IF(ISBLANK(Sacak13[[#This Row],[Adı Soyadı]]),"",Sacak13[[#This Row],[ADET]]*Sacak13[[#This Row],[BİRİM FİYAT]])</f>
        <v/>
      </c>
      <c r="J52" s="43" t="str">
        <f>IF(ISBLANK(Sacak13[[#This Row],[ADET]]),"",SUMIF(Sacak13[Adı Soyadı],Sacak13[[#This Row],[Adı Soyadı]],Sacak13[TUTAR]))</f>
        <v/>
      </c>
    </row>
    <row r="53" spans="2:10" ht="15.6" thickTop="1" thickBot="1" x14ac:dyDescent="0.35">
      <c r="B53" s="15" t="str">
        <f>IF(ISBLANK(C53),"",SUBTOTAL(3, $C$3:C53))</f>
        <v/>
      </c>
      <c r="C53" s="31"/>
      <c r="D53" s="16"/>
      <c r="E53" s="17"/>
      <c r="F53" s="17"/>
      <c r="G53" s="17"/>
      <c r="H53" s="42" t="str">
        <f>IF(ISBLANK(Sacak13[[#This Row],[Adı Soyadı]]),"",İşçilikler!$C$5)</f>
        <v/>
      </c>
      <c r="I53" s="42" t="str">
        <f>IF(ISBLANK(Sacak13[[#This Row],[Adı Soyadı]]),"",Sacak13[[#This Row],[ADET]]*Sacak13[[#This Row],[BİRİM FİYAT]])</f>
        <v/>
      </c>
      <c r="J53" s="43" t="str">
        <f>IF(ISBLANK(Sacak13[[#This Row],[ADET]]),"",SUMIF(Sacak13[Adı Soyadı],Sacak13[[#This Row],[Adı Soyadı]],Sacak13[TUTAR]))</f>
        <v/>
      </c>
    </row>
    <row r="54" spans="2:10" ht="15.6" thickTop="1" thickBot="1" x14ac:dyDescent="0.35">
      <c r="B54" s="15" t="str">
        <f>IF(ISBLANK(C54),"",SUBTOTAL(3, $C$3:C54))</f>
        <v/>
      </c>
      <c r="C54" s="31"/>
      <c r="D54" s="16"/>
      <c r="E54" s="17"/>
      <c r="F54" s="17"/>
      <c r="G54" s="17"/>
      <c r="H54" s="42" t="str">
        <f>IF(ISBLANK(Sacak13[[#This Row],[Adı Soyadı]]),"",İşçilikler!$C$5)</f>
        <v/>
      </c>
      <c r="I54" s="42" t="str">
        <f>IF(ISBLANK(Sacak13[[#This Row],[Adı Soyadı]]),"",Sacak13[[#This Row],[ADET]]*Sacak13[[#This Row],[BİRİM FİYAT]])</f>
        <v/>
      </c>
      <c r="J54" s="43" t="str">
        <f>IF(ISBLANK(Sacak13[[#This Row],[ADET]]),"",SUMIF(Sacak13[Adı Soyadı],Sacak13[[#This Row],[Adı Soyadı]],Sacak13[TUTAR]))</f>
        <v/>
      </c>
    </row>
    <row r="55" spans="2:10" ht="15.6" thickTop="1" thickBot="1" x14ac:dyDescent="0.35">
      <c r="B55" s="15" t="str">
        <f>IF(ISBLANK(C55),"",SUBTOTAL(3, $C$3:C55))</f>
        <v/>
      </c>
      <c r="C55" s="31"/>
      <c r="D55" s="16"/>
      <c r="E55" s="17"/>
      <c r="F55" s="17"/>
      <c r="G55" s="17"/>
      <c r="H55" s="42" t="str">
        <f>IF(ISBLANK(Sacak13[[#This Row],[Adı Soyadı]]),"",İşçilikler!$C$5)</f>
        <v/>
      </c>
      <c r="I55" s="42" t="str">
        <f>IF(ISBLANK(Sacak13[[#This Row],[Adı Soyadı]]),"",Sacak13[[#This Row],[ADET]]*Sacak13[[#This Row],[BİRİM FİYAT]])</f>
        <v/>
      </c>
      <c r="J55" s="43" t="str">
        <f>IF(ISBLANK(Sacak13[[#This Row],[ADET]]),"",SUMIF(Sacak13[Adı Soyadı],Sacak13[[#This Row],[Adı Soyadı]],Sacak13[TUTAR]))</f>
        <v/>
      </c>
    </row>
    <row r="56" spans="2:10" ht="15.6" thickTop="1" thickBot="1" x14ac:dyDescent="0.35">
      <c r="B56" s="15" t="str">
        <f>IF(ISBLANK(C56),"",SUBTOTAL(3, $C$3:C56))</f>
        <v/>
      </c>
      <c r="C56" s="31"/>
      <c r="D56" s="16"/>
      <c r="E56" s="17"/>
      <c r="F56" s="17"/>
      <c r="G56" s="17"/>
      <c r="H56" s="42" t="str">
        <f>IF(ISBLANK(Sacak13[[#This Row],[Adı Soyadı]]),"",İşçilikler!$C$5)</f>
        <v/>
      </c>
      <c r="I56" s="42" t="str">
        <f>IF(ISBLANK(Sacak13[[#This Row],[Adı Soyadı]]),"",Sacak13[[#This Row],[ADET]]*Sacak13[[#This Row],[BİRİM FİYAT]])</f>
        <v/>
      </c>
      <c r="J56" s="43" t="str">
        <f>IF(ISBLANK(Sacak13[[#This Row],[ADET]]),"",SUMIF(Sacak13[Adı Soyadı],Sacak13[[#This Row],[Adı Soyadı]],Sacak13[TUTAR]))</f>
        <v/>
      </c>
    </row>
    <row r="57" spans="2:10" ht="15.6" thickTop="1" thickBot="1" x14ac:dyDescent="0.35">
      <c r="B57" s="15" t="str">
        <f>IF(ISBLANK(C57),"",SUBTOTAL(3, $C$3:C57))</f>
        <v/>
      </c>
      <c r="C57" s="31"/>
      <c r="D57" s="16"/>
      <c r="E57" s="17"/>
      <c r="F57" s="17"/>
      <c r="G57" s="17"/>
      <c r="H57" s="42" t="str">
        <f>IF(ISBLANK(Sacak13[[#This Row],[Adı Soyadı]]),"",İşçilikler!$C$5)</f>
        <v/>
      </c>
      <c r="I57" s="42" t="str">
        <f>IF(ISBLANK(Sacak13[[#This Row],[Adı Soyadı]]),"",Sacak13[[#This Row],[ADET]]*Sacak13[[#This Row],[BİRİM FİYAT]])</f>
        <v/>
      </c>
      <c r="J57" s="43" t="str">
        <f>IF(ISBLANK(Sacak13[[#This Row],[ADET]]),"",SUMIF(Sacak13[Adı Soyadı],Sacak13[[#This Row],[Adı Soyadı]],Sacak13[TUTAR]))</f>
        <v/>
      </c>
    </row>
    <row r="58" spans="2:10" ht="15.6" thickTop="1" thickBot="1" x14ac:dyDescent="0.35">
      <c r="B58" s="15" t="str">
        <f>IF(ISBLANK(C58),"",SUBTOTAL(3, $C$3:C58))</f>
        <v/>
      </c>
      <c r="C58" s="31"/>
      <c r="D58" s="16"/>
      <c r="E58" s="17"/>
      <c r="F58" s="17"/>
      <c r="G58" s="17"/>
      <c r="H58" s="42" t="str">
        <f>IF(ISBLANK(Sacak13[[#This Row],[Adı Soyadı]]),"",İşçilikler!$C$5)</f>
        <v/>
      </c>
      <c r="I58" s="42" t="str">
        <f>IF(ISBLANK(Sacak13[[#This Row],[Adı Soyadı]]),"",Sacak13[[#This Row],[ADET]]*Sacak13[[#This Row],[BİRİM FİYAT]])</f>
        <v/>
      </c>
      <c r="J58" s="43" t="str">
        <f>IF(ISBLANK(Sacak13[[#This Row],[ADET]]),"",SUMIF(Sacak13[Adı Soyadı],Sacak13[[#This Row],[Adı Soyadı]],Sacak13[TUTAR]))</f>
        <v/>
      </c>
    </row>
    <row r="59" spans="2:10" ht="15.6" thickTop="1" thickBot="1" x14ac:dyDescent="0.35">
      <c r="B59" s="15" t="str">
        <f>IF(ISBLANK(C59),"",SUBTOTAL(3, $C$3:C59))</f>
        <v/>
      </c>
      <c r="C59" s="31"/>
      <c r="D59" s="16"/>
      <c r="E59" s="17"/>
      <c r="F59" s="17"/>
      <c r="G59" s="17"/>
      <c r="H59" s="42" t="str">
        <f>IF(ISBLANK(Sacak13[[#This Row],[Adı Soyadı]]),"",İşçilikler!$C$5)</f>
        <v/>
      </c>
      <c r="I59" s="42" t="str">
        <f>IF(ISBLANK(Sacak13[[#This Row],[Adı Soyadı]]),"",Sacak13[[#This Row],[ADET]]*Sacak13[[#This Row],[BİRİM FİYAT]])</f>
        <v/>
      </c>
      <c r="J59" s="43" t="str">
        <f>IF(ISBLANK(Sacak13[[#This Row],[ADET]]),"",SUMIF(Sacak13[Adı Soyadı],Sacak13[[#This Row],[Adı Soyadı]],Sacak13[TUTAR]))</f>
        <v/>
      </c>
    </row>
    <row r="60" spans="2:10" ht="15.6" thickTop="1" thickBot="1" x14ac:dyDescent="0.35">
      <c r="B60" s="15" t="str">
        <f>IF(ISBLANK(C60),"",SUBTOTAL(3, $C$3:C60))</f>
        <v/>
      </c>
      <c r="C60" s="31"/>
      <c r="D60" s="16"/>
      <c r="E60" s="17"/>
      <c r="F60" s="17"/>
      <c r="G60" s="17"/>
      <c r="H60" s="42" t="str">
        <f>IF(ISBLANK(Sacak13[[#This Row],[Adı Soyadı]]),"",İşçilikler!$C$5)</f>
        <v/>
      </c>
      <c r="I60" s="42" t="str">
        <f>IF(ISBLANK(Sacak13[[#This Row],[Adı Soyadı]]),"",Sacak13[[#This Row],[ADET]]*Sacak13[[#This Row],[BİRİM FİYAT]])</f>
        <v/>
      </c>
      <c r="J60" s="43" t="str">
        <f>IF(ISBLANK(Sacak13[[#This Row],[ADET]]),"",SUMIF(Sacak13[Adı Soyadı],Sacak13[[#This Row],[Adı Soyadı]],Sacak13[TUTAR]))</f>
        <v/>
      </c>
    </row>
    <row r="61" spans="2:10" ht="15.6" thickTop="1" thickBot="1" x14ac:dyDescent="0.35">
      <c r="B61" s="15" t="str">
        <f>IF(ISBLANK(C61),"",SUBTOTAL(3, $C$3:C61))</f>
        <v/>
      </c>
      <c r="C61" s="31"/>
      <c r="D61" s="16"/>
      <c r="E61" s="17"/>
      <c r="F61" s="17"/>
      <c r="G61" s="17"/>
      <c r="H61" s="42" t="str">
        <f>IF(ISBLANK(Sacak13[[#This Row],[Adı Soyadı]]),"",İşçilikler!$C$5)</f>
        <v/>
      </c>
      <c r="I61" s="42" t="str">
        <f>IF(ISBLANK(Sacak13[[#This Row],[Adı Soyadı]]),"",Sacak13[[#This Row],[ADET]]*Sacak13[[#This Row],[BİRİM FİYAT]])</f>
        <v/>
      </c>
      <c r="J61" s="43" t="str">
        <f>IF(ISBLANK(Sacak13[[#This Row],[ADET]]),"",SUMIF(Sacak13[Adı Soyadı],Sacak13[[#This Row],[Adı Soyadı]],Sacak13[TUTAR]))</f>
        <v/>
      </c>
    </row>
    <row r="62" spans="2:10" ht="15.6" thickTop="1" thickBot="1" x14ac:dyDescent="0.35">
      <c r="B62" s="15" t="str">
        <f>IF(ISBLANK(C62),"",SUBTOTAL(3, $C$3:C62))</f>
        <v/>
      </c>
      <c r="C62" s="31"/>
      <c r="D62" s="16"/>
      <c r="E62" s="17"/>
      <c r="F62" s="17"/>
      <c r="G62" s="17"/>
      <c r="H62" s="42" t="str">
        <f>IF(ISBLANK(Sacak13[[#This Row],[Adı Soyadı]]),"",İşçilikler!$C$5)</f>
        <v/>
      </c>
      <c r="I62" s="42" t="str">
        <f>IF(ISBLANK(Sacak13[[#This Row],[Adı Soyadı]]),"",Sacak13[[#This Row],[ADET]]*Sacak13[[#This Row],[BİRİM FİYAT]])</f>
        <v/>
      </c>
      <c r="J62" s="43" t="str">
        <f>IF(ISBLANK(Sacak13[[#This Row],[ADET]]),"",SUMIF(Sacak13[Adı Soyadı],Sacak13[[#This Row],[Adı Soyadı]],Sacak13[TUTAR]))</f>
        <v/>
      </c>
    </row>
    <row r="63" spans="2:10" ht="15.6" thickTop="1" thickBot="1" x14ac:dyDescent="0.35">
      <c r="B63" s="15" t="str">
        <f>IF(ISBLANK(C63),"",SUBTOTAL(3, $C$3:C63))</f>
        <v/>
      </c>
      <c r="C63" s="31"/>
      <c r="D63" s="16"/>
      <c r="E63" s="17"/>
      <c r="F63" s="17"/>
      <c r="G63" s="17"/>
      <c r="H63" s="42" t="str">
        <f>IF(ISBLANK(Sacak13[[#This Row],[Adı Soyadı]]),"",İşçilikler!$C$5)</f>
        <v/>
      </c>
      <c r="I63" s="42" t="str">
        <f>IF(ISBLANK(Sacak13[[#This Row],[Adı Soyadı]]),"",Sacak13[[#This Row],[ADET]]*Sacak13[[#This Row],[BİRİM FİYAT]])</f>
        <v/>
      </c>
      <c r="J63" s="43" t="str">
        <f>IF(ISBLANK(Sacak13[[#This Row],[ADET]]),"",SUMIF(Sacak13[Adı Soyadı],Sacak13[[#This Row],[Adı Soyadı]],Sacak13[TUTAR]))</f>
        <v/>
      </c>
    </row>
    <row r="64" spans="2:10" ht="15.6" thickTop="1" thickBot="1" x14ac:dyDescent="0.35">
      <c r="B64" s="15" t="str">
        <f>IF(ISBLANK(C64),"",SUBTOTAL(3, $C$3:C64))</f>
        <v/>
      </c>
      <c r="C64" s="31"/>
      <c r="D64" s="16"/>
      <c r="E64" s="17"/>
      <c r="F64" s="17"/>
      <c r="G64" s="17"/>
      <c r="H64" s="42" t="str">
        <f>IF(ISBLANK(Sacak13[[#This Row],[Adı Soyadı]]),"",İşçilikler!$C$5)</f>
        <v/>
      </c>
      <c r="I64" s="42" t="str">
        <f>IF(ISBLANK(Sacak13[[#This Row],[Adı Soyadı]]),"",Sacak13[[#This Row],[ADET]]*Sacak13[[#This Row],[BİRİM FİYAT]])</f>
        <v/>
      </c>
      <c r="J64" s="43" t="str">
        <f>IF(ISBLANK(Sacak13[[#This Row],[ADET]]),"",SUMIF(Sacak13[Adı Soyadı],Sacak13[[#This Row],[Adı Soyadı]],Sacak13[TUTAR]))</f>
        <v/>
      </c>
    </row>
    <row r="65" spans="2:10" ht="15.6" thickTop="1" thickBot="1" x14ac:dyDescent="0.35">
      <c r="B65" s="15" t="str">
        <f>IF(ISBLANK(C65),"",SUBTOTAL(3, $C$3:C65))</f>
        <v/>
      </c>
      <c r="C65" s="31"/>
      <c r="D65" s="16"/>
      <c r="E65" s="17"/>
      <c r="F65" s="17"/>
      <c r="G65" s="17"/>
      <c r="H65" s="42" t="str">
        <f>IF(ISBLANK(Sacak13[[#This Row],[Adı Soyadı]]),"",İşçilikler!$C$5)</f>
        <v/>
      </c>
      <c r="I65" s="42" t="str">
        <f>IF(ISBLANK(Sacak13[[#This Row],[Adı Soyadı]]),"",Sacak13[[#This Row],[ADET]]*Sacak13[[#This Row],[BİRİM FİYAT]])</f>
        <v/>
      </c>
      <c r="J65" s="43" t="str">
        <f>IF(ISBLANK(Sacak13[[#This Row],[ADET]]),"",SUMIF(Sacak13[Adı Soyadı],Sacak13[[#This Row],[Adı Soyadı]],Sacak13[TUTAR]))</f>
        <v/>
      </c>
    </row>
    <row r="66" spans="2:10" ht="15.6" thickTop="1" thickBot="1" x14ac:dyDescent="0.35">
      <c r="B66" s="15" t="str">
        <f>IF(ISBLANK(C66),"",SUBTOTAL(3, $C$3:C66))</f>
        <v/>
      </c>
      <c r="C66" s="31"/>
      <c r="D66" s="16"/>
      <c r="E66" s="17"/>
      <c r="F66" s="17"/>
      <c r="G66" s="17"/>
      <c r="H66" s="42" t="str">
        <f>IF(ISBLANK(Sacak13[[#This Row],[Adı Soyadı]]),"",İşçilikler!$C$5)</f>
        <v/>
      </c>
      <c r="I66" s="42" t="str">
        <f>IF(ISBLANK(Sacak13[[#This Row],[Adı Soyadı]]),"",Sacak13[[#This Row],[ADET]]*Sacak13[[#This Row],[BİRİM FİYAT]])</f>
        <v/>
      </c>
      <c r="J66" s="43" t="str">
        <f>IF(ISBLANK(Sacak13[[#This Row],[ADET]]),"",SUMIF(Sacak13[Adı Soyadı],Sacak13[[#This Row],[Adı Soyadı]],Sacak13[TUTAR]))</f>
        <v/>
      </c>
    </row>
    <row r="67" spans="2:10" ht="15.6" thickTop="1" thickBot="1" x14ac:dyDescent="0.35">
      <c r="B67" s="15" t="str">
        <f>IF(ISBLANK(C67),"",SUBTOTAL(3, $C$3:C67))</f>
        <v/>
      </c>
      <c r="C67" s="31"/>
      <c r="D67" s="16"/>
      <c r="E67" s="17"/>
      <c r="F67" s="17"/>
      <c r="G67" s="17"/>
      <c r="H67" s="42" t="str">
        <f>IF(ISBLANK(Sacak13[[#This Row],[Adı Soyadı]]),"",İşçilikler!$C$5)</f>
        <v/>
      </c>
      <c r="I67" s="42" t="str">
        <f>IF(ISBLANK(Sacak13[[#This Row],[Adı Soyadı]]),"",Sacak13[[#This Row],[ADET]]*Sacak13[[#This Row],[BİRİM FİYAT]])</f>
        <v/>
      </c>
      <c r="J67" s="43" t="str">
        <f>IF(ISBLANK(Sacak13[[#This Row],[ADET]]),"",SUMIF(Sacak13[Adı Soyadı],Sacak13[[#This Row],[Adı Soyadı]],Sacak13[TUTAR]))</f>
        <v/>
      </c>
    </row>
    <row r="68" spans="2:10" ht="15.6" thickTop="1" thickBot="1" x14ac:dyDescent="0.35">
      <c r="B68" s="15" t="str">
        <f>IF(ISBLANK(C68),"",SUBTOTAL(3, $C$3:C68))</f>
        <v/>
      </c>
      <c r="C68" s="31"/>
      <c r="D68" s="16"/>
      <c r="E68" s="17"/>
      <c r="F68" s="17"/>
      <c r="G68" s="17"/>
      <c r="H68" s="42" t="str">
        <f>IF(ISBLANK(Sacak13[[#This Row],[Adı Soyadı]]),"",İşçilikler!$C$5)</f>
        <v/>
      </c>
      <c r="I68" s="42" t="str">
        <f>IF(ISBLANK(Sacak13[[#This Row],[Adı Soyadı]]),"",Sacak13[[#This Row],[ADET]]*Sacak13[[#This Row],[BİRİM FİYAT]])</f>
        <v/>
      </c>
      <c r="J68" s="43" t="str">
        <f>IF(ISBLANK(Sacak13[[#This Row],[ADET]]),"",SUMIF(Sacak13[Adı Soyadı],Sacak13[[#This Row],[Adı Soyadı]],Sacak13[TUTAR]))</f>
        <v/>
      </c>
    </row>
    <row r="69" spans="2:10" ht="15.6" thickTop="1" thickBot="1" x14ac:dyDescent="0.35">
      <c r="B69" s="15" t="str">
        <f>IF(ISBLANK(C69),"",SUBTOTAL(3, $C$3:C69))</f>
        <v/>
      </c>
      <c r="C69" s="31"/>
      <c r="D69" s="16"/>
      <c r="E69" s="17"/>
      <c r="F69" s="17"/>
      <c r="G69" s="17"/>
      <c r="H69" s="42" t="str">
        <f>IF(ISBLANK(Sacak13[[#This Row],[Adı Soyadı]]),"",İşçilikler!$C$5)</f>
        <v/>
      </c>
      <c r="I69" s="42" t="str">
        <f>IF(ISBLANK(Sacak13[[#This Row],[Adı Soyadı]]),"",Sacak13[[#This Row],[ADET]]*Sacak13[[#This Row],[BİRİM FİYAT]])</f>
        <v/>
      </c>
      <c r="J69" s="43" t="str">
        <f>IF(ISBLANK(Sacak13[[#This Row],[ADET]]),"",SUMIF(Sacak13[Adı Soyadı],Sacak13[[#This Row],[Adı Soyadı]],Sacak13[TUTAR]))</f>
        <v/>
      </c>
    </row>
    <row r="70" spans="2:10" ht="15.6" thickTop="1" thickBot="1" x14ac:dyDescent="0.35">
      <c r="B70" s="15" t="str">
        <f>IF(ISBLANK(C70),"",SUBTOTAL(3, $C$3:C70))</f>
        <v/>
      </c>
      <c r="C70" s="31"/>
      <c r="D70" s="16"/>
      <c r="E70" s="17"/>
      <c r="F70" s="17"/>
      <c r="G70" s="17"/>
      <c r="H70" s="42" t="str">
        <f>IF(ISBLANK(Sacak13[[#This Row],[Adı Soyadı]]),"",İşçilikler!$C$5)</f>
        <v/>
      </c>
      <c r="I70" s="42" t="str">
        <f>IF(ISBLANK(Sacak13[[#This Row],[Adı Soyadı]]),"",Sacak13[[#This Row],[ADET]]*Sacak13[[#This Row],[BİRİM FİYAT]])</f>
        <v/>
      </c>
      <c r="J70" s="43" t="str">
        <f>IF(ISBLANK(Sacak13[[#This Row],[ADET]]),"",SUMIF(Sacak13[Adı Soyadı],Sacak13[[#This Row],[Adı Soyadı]],Sacak13[TUTAR]))</f>
        <v/>
      </c>
    </row>
    <row r="71" spans="2:10" ht="15.6" thickTop="1" thickBot="1" x14ac:dyDescent="0.35">
      <c r="B71" s="15" t="str">
        <f>IF(ISBLANK(C71),"",SUBTOTAL(3, $C$3:C71))</f>
        <v/>
      </c>
      <c r="C71" s="31"/>
      <c r="D71" s="16"/>
      <c r="E71" s="17"/>
      <c r="F71" s="17"/>
      <c r="G71" s="17"/>
      <c r="H71" s="42" t="str">
        <f>IF(ISBLANK(Sacak13[[#This Row],[Adı Soyadı]]),"",İşçilikler!$C$5)</f>
        <v/>
      </c>
      <c r="I71" s="42" t="str">
        <f>IF(ISBLANK(Sacak13[[#This Row],[Adı Soyadı]]),"",Sacak13[[#This Row],[ADET]]*Sacak13[[#This Row],[BİRİM FİYAT]])</f>
        <v/>
      </c>
      <c r="J71" s="43" t="str">
        <f>IF(ISBLANK(Sacak13[[#This Row],[ADET]]),"",SUMIF(Sacak13[Adı Soyadı],Sacak13[[#This Row],[Adı Soyadı]],Sacak13[TUTAR]))</f>
        <v/>
      </c>
    </row>
    <row r="72" spans="2:10" ht="15.6" thickTop="1" thickBot="1" x14ac:dyDescent="0.35">
      <c r="B72" s="15" t="str">
        <f>IF(ISBLANK(C72),"",SUBTOTAL(3, $C$3:C72))</f>
        <v/>
      </c>
      <c r="C72" s="31"/>
      <c r="D72" s="16"/>
      <c r="E72" s="17"/>
      <c r="F72" s="17"/>
      <c r="G72" s="17"/>
      <c r="H72" s="42" t="str">
        <f>IF(ISBLANK(Sacak13[[#This Row],[Adı Soyadı]]),"",İşçilikler!$C$5)</f>
        <v/>
      </c>
      <c r="I72" s="42" t="str">
        <f>IF(ISBLANK(Sacak13[[#This Row],[Adı Soyadı]]),"",Sacak13[[#This Row],[ADET]]*Sacak13[[#This Row],[BİRİM FİYAT]])</f>
        <v/>
      </c>
      <c r="J72" s="43" t="str">
        <f>IF(ISBLANK(Sacak13[[#This Row],[ADET]]),"",SUMIF(Sacak13[Adı Soyadı],Sacak13[[#This Row],[Adı Soyadı]],Sacak13[TUTAR]))</f>
        <v/>
      </c>
    </row>
    <row r="73" spans="2:10" ht="15.6" thickTop="1" thickBot="1" x14ac:dyDescent="0.35">
      <c r="B73" s="15" t="str">
        <f>IF(ISBLANK(C73),"",SUBTOTAL(3, $C$3:C73))</f>
        <v/>
      </c>
      <c r="C73" s="31"/>
      <c r="D73" s="16"/>
      <c r="E73" s="17"/>
      <c r="F73" s="17"/>
      <c r="G73" s="17"/>
      <c r="H73" s="42" t="str">
        <f>IF(ISBLANK(Sacak13[[#This Row],[Adı Soyadı]]),"",İşçilikler!$C$5)</f>
        <v/>
      </c>
      <c r="I73" s="42" t="str">
        <f>IF(ISBLANK(Sacak13[[#This Row],[Adı Soyadı]]),"",Sacak13[[#This Row],[ADET]]*Sacak13[[#This Row],[BİRİM FİYAT]])</f>
        <v/>
      </c>
      <c r="J73" s="43" t="str">
        <f>IF(ISBLANK(Sacak13[[#This Row],[ADET]]),"",SUMIF(Sacak13[Adı Soyadı],Sacak13[[#This Row],[Adı Soyadı]],Sacak13[TUTAR]))</f>
        <v/>
      </c>
    </row>
    <row r="74" spans="2:10" ht="15.6" thickTop="1" thickBot="1" x14ac:dyDescent="0.35">
      <c r="B74" s="15" t="str">
        <f>IF(ISBLANK(C74),"",SUBTOTAL(3, $C$3:C74))</f>
        <v/>
      </c>
      <c r="C74" s="31"/>
      <c r="D74" s="16"/>
      <c r="E74" s="17"/>
      <c r="F74" s="17"/>
      <c r="G74" s="17"/>
      <c r="H74" s="42" t="str">
        <f>IF(ISBLANK(Sacak13[[#This Row],[Adı Soyadı]]),"",İşçilikler!$C$5)</f>
        <v/>
      </c>
      <c r="I74" s="42" t="str">
        <f>IF(ISBLANK(Sacak13[[#This Row],[Adı Soyadı]]),"",Sacak13[[#This Row],[ADET]]*Sacak13[[#This Row],[BİRİM FİYAT]])</f>
        <v/>
      </c>
      <c r="J74" s="43" t="str">
        <f>IF(ISBLANK(Sacak13[[#This Row],[ADET]]),"",SUMIF(Sacak13[Adı Soyadı],Sacak13[[#This Row],[Adı Soyadı]],Sacak13[TUTAR]))</f>
        <v/>
      </c>
    </row>
    <row r="75" spans="2:10" ht="15.6" thickTop="1" thickBot="1" x14ac:dyDescent="0.35">
      <c r="B75" s="15" t="str">
        <f>IF(ISBLANK(C75),"",SUBTOTAL(3, $C$3:C75))</f>
        <v/>
      </c>
      <c r="C75" s="31"/>
      <c r="D75" s="16"/>
      <c r="E75" s="17"/>
      <c r="F75" s="17"/>
      <c r="G75" s="17"/>
      <c r="H75" s="42" t="str">
        <f>IF(ISBLANK(Sacak13[[#This Row],[Adı Soyadı]]),"",İşçilikler!$C$5)</f>
        <v/>
      </c>
      <c r="I75" s="42" t="str">
        <f>IF(ISBLANK(Sacak13[[#This Row],[Adı Soyadı]]),"",Sacak13[[#This Row],[ADET]]*Sacak13[[#This Row],[BİRİM FİYAT]])</f>
        <v/>
      </c>
      <c r="J75" s="43" t="str">
        <f>IF(ISBLANK(Sacak13[[#This Row],[ADET]]),"",SUMIF(Sacak13[Adı Soyadı],Sacak13[[#This Row],[Adı Soyadı]],Sacak13[TUTAR]))</f>
        <v/>
      </c>
    </row>
    <row r="76" spans="2:10" ht="15.6" thickTop="1" thickBot="1" x14ac:dyDescent="0.35">
      <c r="B76" s="15" t="str">
        <f>IF(ISBLANK(C76),"",SUBTOTAL(3, $C$3:C76))</f>
        <v/>
      </c>
      <c r="C76" s="31"/>
      <c r="D76" s="16"/>
      <c r="E76" s="17"/>
      <c r="F76" s="17"/>
      <c r="G76" s="17"/>
      <c r="H76" s="42" t="str">
        <f>IF(ISBLANK(Sacak13[[#This Row],[Adı Soyadı]]),"",İşçilikler!$C$5)</f>
        <v/>
      </c>
      <c r="I76" s="42" t="str">
        <f>IF(ISBLANK(Sacak13[[#This Row],[Adı Soyadı]]),"",Sacak13[[#This Row],[ADET]]*Sacak13[[#This Row],[BİRİM FİYAT]])</f>
        <v/>
      </c>
      <c r="J76" s="43" t="str">
        <f>IF(ISBLANK(Sacak13[[#This Row],[ADET]]),"",SUMIF(Sacak13[Adı Soyadı],Sacak13[[#This Row],[Adı Soyadı]],Sacak13[TUTAR]))</f>
        <v/>
      </c>
    </row>
    <row r="77" spans="2:10" ht="15.6" thickTop="1" thickBot="1" x14ac:dyDescent="0.35">
      <c r="B77" s="15" t="str">
        <f>IF(ISBLANK(C77),"",SUBTOTAL(3, $C$3:C77))</f>
        <v/>
      </c>
      <c r="C77" s="31"/>
      <c r="D77" s="16"/>
      <c r="E77" s="17"/>
      <c r="F77" s="17"/>
      <c r="G77" s="17"/>
      <c r="H77" s="42" t="str">
        <f>IF(ISBLANK(Sacak13[[#This Row],[Adı Soyadı]]),"",İşçilikler!$C$5)</f>
        <v/>
      </c>
      <c r="I77" s="42" t="str">
        <f>IF(ISBLANK(Sacak13[[#This Row],[Adı Soyadı]]),"",Sacak13[[#This Row],[ADET]]*Sacak13[[#This Row],[BİRİM FİYAT]])</f>
        <v/>
      </c>
      <c r="J77" s="43" t="str">
        <f>IF(ISBLANK(Sacak13[[#This Row],[ADET]]),"",SUMIF(Sacak13[Adı Soyadı],Sacak13[[#This Row],[Adı Soyadı]],Sacak13[TUTAR]))</f>
        <v/>
      </c>
    </row>
    <row r="78" spans="2:10" ht="15.6" thickTop="1" thickBot="1" x14ac:dyDescent="0.35">
      <c r="B78" s="15" t="str">
        <f>IF(ISBLANK(C78),"",SUBTOTAL(3, $C$3:C78))</f>
        <v/>
      </c>
      <c r="C78" s="31"/>
      <c r="D78" s="16"/>
      <c r="E78" s="17"/>
      <c r="F78" s="17"/>
      <c r="G78" s="17"/>
      <c r="H78" s="42" t="str">
        <f>IF(ISBLANK(Sacak13[[#This Row],[Adı Soyadı]]),"",İşçilikler!$C$5)</f>
        <v/>
      </c>
      <c r="I78" s="42" t="str">
        <f>IF(ISBLANK(Sacak13[[#This Row],[Adı Soyadı]]),"",Sacak13[[#This Row],[ADET]]*Sacak13[[#This Row],[BİRİM FİYAT]])</f>
        <v/>
      </c>
      <c r="J78" s="43" t="str">
        <f>IF(ISBLANK(Sacak13[[#This Row],[ADET]]),"",SUMIF(Sacak13[Adı Soyadı],Sacak13[[#This Row],[Adı Soyadı]],Sacak13[TUTAR]))</f>
        <v/>
      </c>
    </row>
    <row r="79" spans="2:10" ht="15.6" thickTop="1" thickBot="1" x14ac:dyDescent="0.35">
      <c r="B79" s="15" t="str">
        <f>IF(ISBLANK(C79),"",SUBTOTAL(3, $C$3:C79))</f>
        <v/>
      </c>
      <c r="C79" s="31"/>
      <c r="D79" s="16"/>
      <c r="E79" s="17"/>
      <c r="F79" s="17"/>
      <c r="G79" s="17"/>
      <c r="H79" s="42" t="str">
        <f>IF(ISBLANK(Sacak13[[#This Row],[Adı Soyadı]]),"",İşçilikler!$C$5)</f>
        <v/>
      </c>
      <c r="I79" s="42" t="str">
        <f>IF(ISBLANK(Sacak13[[#This Row],[Adı Soyadı]]),"",Sacak13[[#This Row],[ADET]]*Sacak13[[#This Row],[BİRİM FİYAT]])</f>
        <v/>
      </c>
      <c r="J79" s="43" t="str">
        <f>IF(ISBLANK(Sacak13[[#This Row],[ADET]]),"",SUMIF(Sacak13[Adı Soyadı],Sacak13[[#This Row],[Adı Soyadı]],Sacak13[TUTAR]))</f>
        <v/>
      </c>
    </row>
    <row r="80" spans="2:10" ht="15.6" thickTop="1" thickBot="1" x14ac:dyDescent="0.35">
      <c r="B80" s="15" t="str">
        <f>IF(ISBLANK(C80),"",SUBTOTAL(3, $C$3:C80))</f>
        <v/>
      </c>
      <c r="C80" s="31"/>
      <c r="D80" s="16"/>
      <c r="E80" s="17"/>
      <c r="F80" s="17"/>
      <c r="G80" s="17"/>
      <c r="H80" s="42" t="str">
        <f>IF(ISBLANK(Sacak13[[#This Row],[Adı Soyadı]]),"",İşçilikler!$C$5)</f>
        <v/>
      </c>
      <c r="I80" s="42" t="str">
        <f>IF(ISBLANK(Sacak13[[#This Row],[Adı Soyadı]]),"",Sacak13[[#This Row],[ADET]]*Sacak13[[#This Row],[BİRİM FİYAT]])</f>
        <v/>
      </c>
      <c r="J80" s="43" t="str">
        <f>IF(ISBLANK(Sacak13[[#This Row],[ADET]]),"",SUMIF(Sacak13[Adı Soyadı],Sacak13[[#This Row],[Adı Soyadı]],Sacak13[TUTAR]))</f>
        <v/>
      </c>
    </row>
    <row r="81" spans="2:10" ht="15.6" thickTop="1" thickBot="1" x14ac:dyDescent="0.35">
      <c r="B81" s="15" t="str">
        <f>IF(ISBLANK(C81),"",SUBTOTAL(3, $C$3:C81))</f>
        <v/>
      </c>
      <c r="C81" s="31"/>
      <c r="D81" s="16"/>
      <c r="E81" s="17"/>
      <c r="F81" s="17"/>
      <c r="G81" s="17"/>
      <c r="H81" s="42" t="str">
        <f>IF(ISBLANK(Sacak13[[#This Row],[Adı Soyadı]]),"",İşçilikler!$C$5)</f>
        <v/>
      </c>
      <c r="I81" s="42" t="str">
        <f>IF(ISBLANK(Sacak13[[#This Row],[Adı Soyadı]]),"",Sacak13[[#This Row],[ADET]]*Sacak13[[#This Row],[BİRİM FİYAT]])</f>
        <v/>
      </c>
      <c r="J81" s="43" t="str">
        <f>IF(ISBLANK(Sacak13[[#This Row],[ADET]]),"",SUMIF(Sacak13[Adı Soyadı],Sacak13[[#This Row],[Adı Soyadı]],Sacak13[TUTAR]))</f>
        <v/>
      </c>
    </row>
    <row r="82" spans="2:10" ht="15.6" thickTop="1" thickBot="1" x14ac:dyDescent="0.35">
      <c r="B82" s="15" t="str">
        <f>IF(ISBLANK(C82),"",SUBTOTAL(3, $C$3:C82))</f>
        <v/>
      </c>
      <c r="C82" s="31"/>
      <c r="D82" s="16"/>
      <c r="E82" s="17"/>
      <c r="F82" s="17"/>
      <c r="G82" s="17"/>
      <c r="H82" s="42" t="str">
        <f>IF(ISBLANK(Sacak13[[#This Row],[Adı Soyadı]]),"",İşçilikler!$C$5)</f>
        <v/>
      </c>
      <c r="I82" s="42" t="str">
        <f>IF(ISBLANK(Sacak13[[#This Row],[Adı Soyadı]]),"",Sacak13[[#This Row],[ADET]]*Sacak13[[#This Row],[BİRİM FİYAT]])</f>
        <v/>
      </c>
      <c r="J82" s="43" t="str">
        <f>IF(ISBLANK(Sacak13[[#This Row],[ADET]]),"",SUMIF(Sacak13[Adı Soyadı],Sacak13[[#This Row],[Adı Soyadı]],Sacak13[TUTAR]))</f>
        <v/>
      </c>
    </row>
    <row r="83" spans="2:10" ht="15.6" thickTop="1" thickBot="1" x14ac:dyDescent="0.35">
      <c r="B83" s="15" t="str">
        <f>IF(ISBLANK(C83),"",SUBTOTAL(3, $C$3:C83))</f>
        <v/>
      </c>
      <c r="C83" s="31"/>
      <c r="D83" s="16"/>
      <c r="E83" s="17"/>
      <c r="F83" s="17"/>
      <c r="G83" s="17"/>
      <c r="H83" s="42" t="str">
        <f>IF(ISBLANK(Sacak13[[#This Row],[Adı Soyadı]]),"",İşçilikler!$C$5)</f>
        <v/>
      </c>
      <c r="I83" s="42" t="str">
        <f>IF(ISBLANK(Sacak13[[#This Row],[Adı Soyadı]]),"",Sacak13[[#This Row],[ADET]]*Sacak13[[#This Row],[BİRİM FİYAT]])</f>
        <v/>
      </c>
      <c r="J83" s="43" t="str">
        <f>IF(ISBLANK(Sacak13[[#This Row],[ADET]]),"",SUMIF(Sacak13[Adı Soyadı],Sacak13[[#This Row],[Adı Soyadı]],Sacak13[TUTAR]))</f>
        <v/>
      </c>
    </row>
    <row r="84" spans="2:10" ht="15.6" thickTop="1" thickBot="1" x14ac:dyDescent="0.35">
      <c r="B84" s="15" t="str">
        <f>IF(ISBLANK(C84),"",SUBTOTAL(3, $C$3:C84))</f>
        <v/>
      </c>
      <c r="C84" s="31"/>
      <c r="D84" s="16"/>
      <c r="E84" s="17"/>
      <c r="F84" s="17"/>
      <c r="G84" s="17"/>
      <c r="H84" s="42" t="str">
        <f>IF(ISBLANK(Sacak13[[#This Row],[Adı Soyadı]]),"",İşçilikler!$C$5)</f>
        <v/>
      </c>
      <c r="I84" s="42" t="str">
        <f>IF(ISBLANK(Sacak13[[#This Row],[Adı Soyadı]]),"",Sacak13[[#This Row],[ADET]]*Sacak13[[#This Row],[BİRİM FİYAT]])</f>
        <v/>
      </c>
      <c r="J84" s="43" t="str">
        <f>IF(ISBLANK(Sacak13[[#This Row],[ADET]]),"",SUMIF(Sacak13[Adı Soyadı],Sacak13[[#This Row],[Adı Soyadı]],Sacak13[TUTAR]))</f>
        <v/>
      </c>
    </row>
    <row r="85" spans="2:10" ht="15.6" thickTop="1" thickBot="1" x14ac:dyDescent="0.35">
      <c r="B85" s="15" t="str">
        <f>IF(ISBLANK(C85),"",SUBTOTAL(3, $C$3:C85))</f>
        <v/>
      </c>
      <c r="C85" s="31"/>
      <c r="D85" s="16"/>
      <c r="E85" s="17"/>
      <c r="F85" s="17"/>
      <c r="G85" s="17"/>
      <c r="H85" s="42" t="str">
        <f>IF(ISBLANK(Sacak13[[#This Row],[Adı Soyadı]]),"",İşçilikler!$C$5)</f>
        <v/>
      </c>
      <c r="I85" s="42" t="str">
        <f>IF(ISBLANK(Sacak13[[#This Row],[Adı Soyadı]]),"",Sacak13[[#This Row],[ADET]]*Sacak13[[#This Row],[BİRİM FİYAT]])</f>
        <v/>
      </c>
      <c r="J85" s="43" t="str">
        <f>IF(ISBLANK(Sacak13[[#This Row],[ADET]]),"",SUMIF(Sacak13[Adı Soyadı],Sacak13[[#This Row],[Adı Soyadı]],Sacak13[TUTAR]))</f>
        <v/>
      </c>
    </row>
    <row r="86" spans="2:10" ht="15.6" thickTop="1" thickBot="1" x14ac:dyDescent="0.35">
      <c r="B86" s="15" t="str">
        <f>IF(ISBLANK(C86),"",SUBTOTAL(3, $C$3:C86))</f>
        <v/>
      </c>
      <c r="C86" s="31"/>
      <c r="D86" s="16"/>
      <c r="E86" s="17"/>
      <c r="F86" s="17"/>
      <c r="G86" s="17"/>
      <c r="H86" s="42" t="str">
        <f>IF(ISBLANK(Sacak13[[#This Row],[Adı Soyadı]]),"",İşçilikler!$C$5)</f>
        <v/>
      </c>
      <c r="I86" s="42" t="str">
        <f>IF(ISBLANK(Sacak13[[#This Row],[Adı Soyadı]]),"",Sacak13[[#This Row],[ADET]]*Sacak13[[#This Row],[BİRİM FİYAT]])</f>
        <v/>
      </c>
      <c r="J86" s="43" t="str">
        <f>IF(ISBLANK(Sacak13[[#This Row],[ADET]]),"",SUMIF(Sacak13[Adı Soyadı],Sacak13[[#This Row],[Adı Soyadı]],Sacak13[TUTAR]))</f>
        <v/>
      </c>
    </row>
    <row r="87" spans="2:10" ht="15.6" thickTop="1" thickBot="1" x14ac:dyDescent="0.35">
      <c r="B87" s="15" t="str">
        <f>IF(ISBLANK(C87),"",SUBTOTAL(3, $C$3:C87))</f>
        <v/>
      </c>
      <c r="C87" s="31"/>
      <c r="D87" s="16"/>
      <c r="E87" s="17"/>
      <c r="F87" s="17"/>
      <c r="G87" s="17"/>
      <c r="H87" s="42" t="str">
        <f>IF(ISBLANK(Sacak13[[#This Row],[Adı Soyadı]]),"",İşçilikler!$C$5)</f>
        <v/>
      </c>
      <c r="I87" s="42" t="str">
        <f>IF(ISBLANK(Sacak13[[#This Row],[Adı Soyadı]]),"",Sacak13[[#This Row],[ADET]]*Sacak13[[#This Row],[BİRİM FİYAT]])</f>
        <v/>
      </c>
      <c r="J87" s="43" t="str">
        <f>IF(ISBLANK(Sacak13[[#This Row],[ADET]]),"",SUMIF(Sacak13[Adı Soyadı],Sacak13[[#This Row],[Adı Soyadı]],Sacak13[TUTAR]))</f>
        <v/>
      </c>
    </row>
    <row r="88" spans="2:10" ht="15.6" thickTop="1" thickBot="1" x14ac:dyDescent="0.35">
      <c r="B88" s="15" t="str">
        <f>IF(ISBLANK(C88),"",SUBTOTAL(3, $C$3:C88))</f>
        <v/>
      </c>
      <c r="C88" s="31"/>
      <c r="D88" s="16"/>
      <c r="E88" s="17"/>
      <c r="F88" s="17"/>
      <c r="G88" s="17"/>
      <c r="H88" s="42" t="str">
        <f>IF(ISBLANK(Sacak13[[#This Row],[Adı Soyadı]]),"",İşçilikler!$C$5)</f>
        <v/>
      </c>
      <c r="I88" s="42" t="str">
        <f>IF(ISBLANK(Sacak13[[#This Row],[Adı Soyadı]]),"",Sacak13[[#This Row],[ADET]]*Sacak13[[#This Row],[BİRİM FİYAT]])</f>
        <v/>
      </c>
      <c r="J88" s="43" t="str">
        <f>IF(ISBLANK(Sacak13[[#This Row],[ADET]]),"",SUMIF(Sacak13[Adı Soyadı],Sacak13[[#This Row],[Adı Soyadı]],Sacak13[TUTAR]))</f>
        <v/>
      </c>
    </row>
    <row r="89" spans="2:10" ht="15.6" thickTop="1" thickBot="1" x14ac:dyDescent="0.35">
      <c r="B89" s="15" t="str">
        <f>IF(ISBLANK(C89),"",SUBTOTAL(3, $C$3:C89))</f>
        <v/>
      </c>
      <c r="C89" s="31"/>
      <c r="D89" s="16"/>
      <c r="E89" s="17"/>
      <c r="F89" s="17"/>
      <c r="G89" s="17"/>
      <c r="H89" s="42" t="str">
        <f>IF(ISBLANK(Sacak13[[#This Row],[Adı Soyadı]]),"",İşçilikler!$C$5)</f>
        <v/>
      </c>
      <c r="I89" s="42" t="str">
        <f>IF(ISBLANK(Sacak13[[#This Row],[Adı Soyadı]]),"",Sacak13[[#This Row],[ADET]]*Sacak13[[#This Row],[BİRİM FİYAT]])</f>
        <v/>
      </c>
      <c r="J89" s="43" t="str">
        <f>IF(ISBLANK(Sacak13[[#This Row],[ADET]]),"",SUMIF(Sacak13[Adı Soyadı],Sacak13[[#This Row],[Adı Soyadı]],Sacak13[TUTAR]))</f>
        <v/>
      </c>
    </row>
    <row r="90" spans="2:10" ht="15.6" thickTop="1" thickBot="1" x14ac:dyDescent="0.35">
      <c r="B90" s="15" t="str">
        <f>IF(ISBLANK(C90),"",SUBTOTAL(3, $C$3:C90))</f>
        <v/>
      </c>
      <c r="C90" s="31"/>
      <c r="D90" s="16"/>
      <c r="E90" s="17"/>
      <c r="F90" s="17"/>
      <c r="G90" s="17"/>
      <c r="H90" s="42" t="str">
        <f>IF(ISBLANK(Sacak13[[#This Row],[Adı Soyadı]]),"",İşçilikler!$C$5)</f>
        <v/>
      </c>
      <c r="I90" s="42" t="str">
        <f>IF(ISBLANK(Sacak13[[#This Row],[Adı Soyadı]]),"",Sacak13[[#This Row],[ADET]]*Sacak13[[#This Row],[BİRİM FİYAT]])</f>
        <v/>
      </c>
      <c r="J90" s="43" t="str">
        <f>IF(ISBLANK(Sacak13[[#This Row],[ADET]]),"",SUMIF(Sacak13[Adı Soyadı],Sacak13[[#This Row],[Adı Soyadı]],Sacak13[TUTAR]))</f>
        <v/>
      </c>
    </row>
    <row r="91" spans="2:10" ht="15.6" thickTop="1" thickBot="1" x14ac:dyDescent="0.35">
      <c r="B91" s="10" t="str">
        <f>IF(ISBLANK(C91),"",SUBTOTAL(3, $C$3:C91))</f>
        <v/>
      </c>
      <c r="C91" s="32"/>
      <c r="D91" s="11"/>
      <c r="E91" s="12"/>
      <c r="F91" s="12"/>
      <c r="G91" s="12"/>
      <c r="H91" s="42" t="str">
        <f>IF(ISBLANK(Sacak13[[#This Row],[Adı Soyadı]]),"",İşçilikler!$C$5)</f>
        <v/>
      </c>
      <c r="I91" s="45" t="str">
        <f>IF(ISBLANK(Sacak13[[#This Row],[Adı Soyadı]]),"",Sacak13[[#This Row],[ADET]]*Sacak13[[#This Row],[BİRİM FİYAT]])</f>
        <v/>
      </c>
      <c r="J91" s="13" t="str">
        <f>IF(ISBLANK(Sacak13[[#This Row],[ADET]]),"",SUMIF(Sacak13[Adı Soyadı],Sacak13[[#This Row],[Adı Soyadı]],Sacak13[TUTAR]))</f>
        <v/>
      </c>
    </row>
    <row r="92" spans="2:10" ht="15.6" thickTop="1" thickBot="1" x14ac:dyDescent="0.35">
      <c r="B92" s="1" t="str">
        <f>IF(ISBLANK(C92),"",SUBTOTAL(3, $C$3:C92))</f>
        <v/>
      </c>
      <c r="C92" s="33"/>
      <c r="D92" s="5"/>
      <c r="E92" s="6"/>
      <c r="F92" s="6"/>
      <c r="G92" s="6"/>
      <c r="H92" s="42" t="str">
        <f>IF(ISBLANK(Sacak13[[#This Row],[Adı Soyadı]]),"",İşçilikler!$C$5)</f>
        <v/>
      </c>
      <c r="I92" s="46" t="str">
        <f>IF(ISBLANK(Sacak13[[#This Row],[Adı Soyadı]]),"",Sacak13[[#This Row],[ADET]]*Sacak13[[#This Row],[BİRİM FİYAT]])</f>
        <v/>
      </c>
      <c r="J92" s="2" t="str">
        <f>IF(ISBLANK(Sacak13[[#This Row],[ADET]]),"",SUMIF(Sacak13[Adı Soyadı],Sacak13[[#This Row],[Adı Soyadı]],Sacak13[TUTAR]))</f>
        <v/>
      </c>
    </row>
    <row r="93" spans="2:10" ht="15.6" thickTop="1" thickBot="1" x14ac:dyDescent="0.35">
      <c r="B93" s="1" t="str">
        <f>IF(ISBLANK(C93),"",SUBTOTAL(3, $C$3:C93))</f>
        <v/>
      </c>
      <c r="C93" s="33"/>
      <c r="D93" s="5"/>
      <c r="E93" s="6"/>
      <c r="F93" s="6"/>
      <c r="G93" s="6"/>
      <c r="H93" s="42" t="str">
        <f>IF(ISBLANK(Sacak13[[#This Row],[Adı Soyadı]]),"",İşçilikler!$C$5)</f>
        <v/>
      </c>
      <c r="I93" s="46" t="str">
        <f>IF(ISBLANK(Sacak13[[#This Row],[Adı Soyadı]]),"",Sacak13[[#This Row],[ADET]]*Sacak13[[#This Row],[BİRİM FİYAT]])</f>
        <v/>
      </c>
      <c r="J93" s="2" t="str">
        <f>IF(ISBLANK(Sacak13[[#This Row],[ADET]]),"",SUMIF(Sacak13[Adı Soyadı],Sacak13[[#This Row],[Adı Soyadı]],Sacak13[TUTAR]))</f>
        <v/>
      </c>
    </row>
    <row r="94" spans="2:10" ht="15.6" thickTop="1" thickBot="1" x14ac:dyDescent="0.35">
      <c r="B94" s="1" t="str">
        <f>IF(ISBLANK(C94),"",SUBTOTAL(3, $C$3:C94))</f>
        <v/>
      </c>
      <c r="C94" s="33"/>
      <c r="D94" s="5"/>
      <c r="E94" s="6"/>
      <c r="F94" s="6"/>
      <c r="G94" s="6"/>
      <c r="H94" s="42" t="str">
        <f>IF(ISBLANK(Sacak13[[#This Row],[Adı Soyadı]]),"",İşçilikler!$C$5)</f>
        <v/>
      </c>
      <c r="I94" s="46" t="str">
        <f>IF(ISBLANK(Sacak13[[#This Row],[Adı Soyadı]]),"",Sacak13[[#This Row],[ADET]]*Sacak13[[#This Row],[BİRİM FİYAT]])</f>
        <v/>
      </c>
      <c r="J94" s="2" t="str">
        <f>IF(ISBLANK(Sacak13[[#This Row],[ADET]]),"",SUMIF(Sacak13[Adı Soyadı],Sacak13[[#This Row],[Adı Soyadı]],Sacak13[TUTAR]))</f>
        <v/>
      </c>
    </row>
    <row r="95" spans="2:10" ht="15.6" thickTop="1" thickBot="1" x14ac:dyDescent="0.35">
      <c r="B95" s="1" t="str">
        <f>IF(ISBLANK(C95),"",SUBTOTAL(3, $C$3:C95))</f>
        <v/>
      </c>
      <c r="C95" s="33"/>
      <c r="D95" s="5"/>
      <c r="E95" s="6"/>
      <c r="F95" s="6"/>
      <c r="G95" s="6"/>
      <c r="H95" s="42" t="str">
        <f>IF(ISBLANK(Sacak13[[#This Row],[Adı Soyadı]]),"",İşçilikler!$C$5)</f>
        <v/>
      </c>
      <c r="I95" s="46" t="str">
        <f>IF(ISBLANK(Sacak13[[#This Row],[Adı Soyadı]]),"",Sacak13[[#This Row],[ADET]]*Sacak13[[#This Row],[BİRİM FİYAT]])</f>
        <v/>
      </c>
      <c r="J95" s="2" t="str">
        <f>IF(ISBLANK(Sacak13[[#This Row],[ADET]]),"",SUMIF(Sacak13[Adı Soyadı],Sacak13[[#This Row],[Adı Soyadı]],Sacak13[TUTAR]))</f>
        <v/>
      </c>
    </row>
    <row r="96" spans="2:10" ht="15.6" thickTop="1" thickBot="1" x14ac:dyDescent="0.35">
      <c r="B96" s="1" t="str">
        <f>IF(ISBLANK(C96),"",SUBTOTAL(3, $C$3:C96))</f>
        <v/>
      </c>
      <c r="C96" s="33"/>
      <c r="D96" s="5"/>
      <c r="E96" s="6"/>
      <c r="F96" s="6"/>
      <c r="G96" s="6"/>
      <c r="H96" s="42" t="str">
        <f>IF(ISBLANK(Sacak13[[#This Row],[Adı Soyadı]]),"",İşçilikler!$C$5)</f>
        <v/>
      </c>
      <c r="I96" s="46" t="str">
        <f>IF(ISBLANK(Sacak13[[#This Row],[Adı Soyadı]]),"",Sacak13[[#This Row],[ADET]]*Sacak13[[#This Row],[BİRİM FİYAT]])</f>
        <v/>
      </c>
      <c r="J96" s="2" t="str">
        <f>IF(ISBLANK(Sacak13[[#This Row],[ADET]]),"",SUMIF(Sacak13[Adı Soyadı],Sacak13[[#This Row],[Adı Soyadı]],Sacak13[TUTAR]))</f>
        <v/>
      </c>
    </row>
    <row r="97" spans="2:10" ht="15.6" thickTop="1" thickBot="1" x14ac:dyDescent="0.35">
      <c r="B97" s="1" t="str">
        <f>IF(ISBLANK(C97),"",SUBTOTAL(3, $C$3:C97))</f>
        <v/>
      </c>
      <c r="C97" s="33"/>
      <c r="D97" s="5"/>
      <c r="E97" s="6"/>
      <c r="F97" s="6"/>
      <c r="G97" s="6"/>
      <c r="H97" s="42" t="str">
        <f>IF(ISBLANK(Sacak13[[#This Row],[Adı Soyadı]]),"",İşçilikler!$C$5)</f>
        <v/>
      </c>
      <c r="I97" s="46" t="str">
        <f>IF(ISBLANK(Sacak13[[#This Row],[Adı Soyadı]]),"",Sacak13[[#This Row],[ADET]]*Sacak13[[#This Row],[BİRİM FİYAT]])</f>
        <v/>
      </c>
      <c r="J97" s="2" t="str">
        <f>IF(ISBLANK(Sacak13[[#This Row],[ADET]]),"",SUMIF(Sacak13[Adı Soyadı],Sacak13[[#This Row],[Adı Soyadı]],Sacak13[TUTAR]))</f>
        <v/>
      </c>
    </row>
    <row r="98" spans="2:10" ht="15.6" thickTop="1" thickBot="1" x14ac:dyDescent="0.35">
      <c r="B98" s="1" t="str">
        <f>IF(ISBLANK(C98),"",SUBTOTAL(3, $C$3:C98))</f>
        <v/>
      </c>
      <c r="C98" s="33"/>
      <c r="D98" s="5"/>
      <c r="E98" s="6"/>
      <c r="F98" s="6"/>
      <c r="G98" s="6"/>
      <c r="H98" s="42" t="str">
        <f>IF(ISBLANK(Sacak13[[#This Row],[Adı Soyadı]]),"",İşçilikler!$C$5)</f>
        <v/>
      </c>
      <c r="I98" s="46" t="str">
        <f>IF(ISBLANK(Sacak13[[#This Row],[Adı Soyadı]]),"",Sacak13[[#This Row],[ADET]]*Sacak13[[#This Row],[BİRİM FİYAT]])</f>
        <v/>
      </c>
      <c r="J98" s="2" t="str">
        <f>IF(ISBLANK(Sacak13[[#This Row],[ADET]]),"",SUMIF(Sacak13[Adı Soyadı],Sacak13[[#This Row],[Adı Soyadı]],Sacak13[TUTAR]))</f>
        <v/>
      </c>
    </row>
    <row r="99" spans="2:10" ht="15.6" thickTop="1" thickBot="1" x14ac:dyDescent="0.35">
      <c r="B99" s="1" t="str">
        <f>IF(ISBLANK(C99),"",SUBTOTAL(3, $C$3:C99))</f>
        <v/>
      </c>
      <c r="C99" s="33"/>
      <c r="D99" s="5"/>
      <c r="E99" s="6"/>
      <c r="F99" s="6"/>
      <c r="G99" s="6"/>
      <c r="H99" s="42" t="str">
        <f>IF(ISBLANK(Sacak13[[#This Row],[Adı Soyadı]]),"",İşçilikler!$C$5)</f>
        <v/>
      </c>
      <c r="I99" s="46" t="str">
        <f>IF(ISBLANK(Sacak13[[#This Row],[Adı Soyadı]]),"",Sacak13[[#This Row],[ADET]]*Sacak13[[#This Row],[BİRİM FİYAT]])</f>
        <v/>
      </c>
      <c r="J99" s="2" t="str">
        <f>IF(ISBLANK(Sacak13[[#This Row],[ADET]]),"",SUMIF(Sacak13[Adı Soyadı],Sacak13[[#This Row],[Adı Soyadı]],Sacak13[TUTAR]))</f>
        <v/>
      </c>
    </row>
    <row r="100" spans="2:10" ht="15.6" thickTop="1" thickBot="1" x14ac:dyDescent="0.35">
      <c r="B100" s="1" t="str">
        <f>IF(ISBLANK(C100),"",SUBTOTAL(3, $C$3:C100))</f>
        <v/>
      </c>
      <c r="C100" s="33"/>
      <c r="D100" s="5"/>
      <c r="E100" s="6"/>
      <c r="F100" s="6"/>
      <c r="G100" s="6"/>
      <c r="H100" s="42" t="str">
        <f>IF(ISBLANK(Sacak13[[#This Row],[Adı Soyadı]]),"",İşçilikler!$C$5)</f>
        <v/>
      </c>
      <c r="I100" s="46" t="str">
        <f>IF(ISBLANK(Sacak13[[#This Row],[Adı Soyadı]]),"",Sacak13[[#This Row],[ADET]]*Sacak13[[#This Row],[BİRİM FİYAT]])</f>
        <v/>
      </c>
      <c r="J100" s="2" t="str">
        <f>IF(ISBLANK(Sacak13[[#This Row],[ADET]]),"",SUMIF(Sacak13[Adı Soyadı],Sacak13[[#This Row],[Adı Soyadı]],Sacak13[TUTAR]))</f>
        <v/>
      </c>
    </row>
    <row r="101" spans="2:10" ht="15.6" thickTop="1" thickBot="1" x14ac:dyDescent="0.35">
      <c r="B101" s="1" t="str">
        <f>IF(ISBLANK(C101),"",SUBTOTAL(3, $C$3:C101))</f>
        <v/>
      </c>
      <c r="C101" s="33"/>
      <c r="D101" s="5"/>
      <c r="E101" s="6"/>
      <c r="F101" s="6"/>
      <c r="G101" s="6"/>
      <c r="H101" s="42" t="str">
        <f>IF(ISBLANK(Sacak13[[#This Row],[Adı Soyadı]]),"",İşçilikler!$C$5)</f>
        <v/>
      </c>
      <c r="I101" s="46" t="str">
        <f>IF(ISBLANK(Sacak13[[#This Row],[Adı Soyadı]]),"",Sacak13[[#This Row],[ADET]]*Sacak13[[#This Row],[BİRİM FİYAT]])</f>
        <v/>
      </c>
      <c r="J101" s="2" t="str">
        <f>IF(ISBLANK(Sacak13[[#This Row],[ADET]]),"",SUMIF(Sacak13[Adı Soyadı],Sacak13[[#This Row],[Adı Soyadı]],Sacak13[TUTAR]))</f>
        <v/>
      </c>
    </row>
    <row r="102" spans="2:10" ht="15.6" thickTop="1" thickBot="1" x14ac:dyDescent="0.35">
      <c r="B102" s="1" t="str">
        <f>IF(ISBLANK(C102),"",SUBTOTAL(3, $C$3:C102))</f>
        <v/>
      </c>
      <c r="C102" s="33"/>
      <c r="D102" s="5"/>
      <c r="E102" s="6"/>
      <c r="F102" s="6"/>
      <c r="G102" s="6"/>
      <c r="H102" s="42" t="str">
        <f>IF(ISBLANK(Sacak13[[#This Row],[Adı Soyadı]]),"",İşçilikler!$C$5)</f>
        <v/>
      </c>
      <c r="I102" s="46" t="str">
        <f>IF(ISBLANK(Sacak13[[#This Row],[Adı Soyadı]]),"",Sacak13[[#This Row],[ADET]]*Sacak13[[#This Row],[BİRİM FİYAT]])</f>
        <v/>
      </c>
      <c r="J102" s="2" t="str">
        <f>IF(ISBLANK(Sacak13[[#This Row],[ADET]]),"",SUMIF(Sacak13[Adı Soyadı],Sacak13[[#This Row],[Adı Soyadı]],Sacak13[TUTAR]))</f>
        <v/>
      </c>
    </row>
    <row r="103" spans="2:10" ht="15.6" thickTop="1" thickBot="1" x14ac:dyDescent="0.35">
      <c r="B103" s="1" t="str">
        <f>IF(ISBLANK(C103),"",SUBTOTAL(3, $C$3:C103))</f>
        <v/>
      </c>
      <c r="C103" s="33"/>
      <c r="D103" s="5"/>
      <c r="E103" s="6"/>
      <c r="F103" s="6"/>
      <c r="G103" s="6"/>
      <c r="H103" s="42" t="str">
        <f>IF(ISBLANK(Sacak13[[#This Row],[Adı Soyadı]]),"",İşçilikler!$C$5)</f>
        <v/>
      </c>
      <c r="I103" s="46" t="str">
        <f>IF(ISBLANK(Sacak13[[#This Row],[Adı Soyadı]]),"",Sacak13[[#This Row],[ADET]]*Sacak13[[#This Row],[BİRİM FİYAT]])</f>
        <v/>
      </c>
      <c r="J103" s="2" t="str">
        <f>IF(ISBLANK(Sacak13[[#This Row],[ADET]]),"",SUMIF(Sacak13[Adı Soyadı],Sacak13[[#This Row],[Adı Soyadı]],Sacak13[TUTAR]))</f>
        <v/>
      </c>
    </row>
    <row r="104" spans="2:10" ht="15.6" thickTop="1" thickBot="1" x14ac:dyDescent="0.35">
      <c r="B104" s="1" t="str">
        <f>IF(ISBLANK(C104),"",SUBTOTAL(3, $C$3:C104))</f>
        <v/>
      </c>
      <c r="C104" s="33"/>
      <c r="D104" s="5"/>
      <c r="E104" s="8"/>
      <c r="F104" s="8"/>
      <c r="G104" s="8"/>
      <c r="H104" s="42" t="str">
        <f>IF(ISBLANK(Sacak13[[#This Row],[Adı Soyadı]]),"",İşçilikler!$C$5)</f>
        <v/>
      </c>
      <c r="I104" s="46" t="str">
        <f>IF(ISBLANK(Sacak13[[#This Row],[Adı Soyadı]]),"",Sacak13[[#This Row],[ADET]]*Sacak13[[#This Row],[BİRİM FİYAT]])</f>
        <v/>
      </c>
      <c r="J104" s="9" t="str">
        <f>IF(ISBLANK(Sacak13[[#This Row],[ADET]]),"",SUMIF(Sacak13[Adı Soyadı],Sacak13[[#This Row],[Adı Soyadı]],Sacak13[TUTAR]))</f>
        <v/>
      </c>
    </row>
    <row r="105" spans="2:10" ht="15.6" thickTop="1" thickBot="1" x14ac:dyDescent="0.35">
      <c r="B105" s="1" t="str">
        <f>IF(ISBLANK(C105),"",SUBTOTAL(3, $C$3:C105))</f>
        <v/>
      </c>
      <c r="C105" s="34"/>
      <c r="D105" s="7"/>
      <c r="E105" s="8"/>
      <c r="F105" s="8"/>
      <c r="G105" s="8"/>
      <c r="H105" s="42" t="str">
        <f>IF(ISBLANK(Sacak13[[#This Row],[Adı Soyadı]]),"",İşçilikler!$C$5)</f>
        <v/>
      </c>
      <c r="I105" s="46" t="str">
        <f>IF(ISBLANK(Sacak13[[#This Row],[Adı Soyadı]]),"",Sacak13[[#This Row],[ADET]]*Sacak13[[#This Row],[BİRİM FİYAT]])</f>
        <v/>
      </c>
      <c r="J105" s="9" t="str">
        <f>IF(ISBLANK(Sacak13[[#This Row],[ADET]]),"",SUMIF(Sacak13[Adı Soyadı],Sacak13[[#This Row],[Adı Soyadı]],Sacak13[TUTAR]))</f>
        <v/>
      </c>
    </row>
    <row r="106" spans="2:10" ht="15.6" thickTop="1" thickBot="1" x14ac:dyDescent="0.35">
      <c r="B106" s="1" t="str">
        <f>IF(ISBLANK(C106),"",SUBTOTAL(3, $C$3:C106))</f>
        <v/>
      </c>
      <c r="C106" s="34"/>
      <c r="D106" s="7"/>
      <c r="E106" s="8"/>
      <c r="F106" s="8"/>
      <c r="G106" s="8"/>
      <c r="H106" s="42" t="str">
        <f>IF(ISBLANK(Sacak13[[#This Row],[Adı Soyadı]]),"",İşçilikler!$C$5)</f>
        <v/>
      </c>
      <c r="I106" s="46" t="str">
        <f>IF(ISBLANK(Sacak13[[#This Row],[Adı Soyadı]]),"",Sacak13[[#This Row],[ADET]]*Sacak13[[#This Row],[BİRİM FİYAT]])</f>
        <v/>
      </c>
      <c r="J106" s="9" t="str">
        <f>IF(ISBLANK(Sacak13[[#This Row],[ADET]]),"",SUMIF(Sacak13[Adı Soyadı],Sacak13[[#This Row],[Adı Soyadı]],Sacak13[TUTAR]))</f>
        <v/>
      </c>
    </row>
    <row r="107" spans="2:10" ht="15.6" thickTop="1" thickBot="1" x14ac:dyDescent="0.35">
      <c r="B107" s="1" t="str">
        <f>IF(ISBLANK(C107),"",SUBTOTAL(3, $C$3:C107))</f>
        <v/>
      </c>
      <c r="C107" s="34"/>
      <c r="D107" s="7"/>
      <c r="E107" s="8"/>
      <c r="F107" s="8"/>
      <c r="G107" s="8"/>
      <c r="H107" s="42" t="str">
        <f>IF(ISBLANK(Sacak13[[#This Row],[Adı Soyadı]]),"",İşçilikler!$C$5)</f>
        <v/>
      </c>
      <c r="I107" s="46" t="str">
        <f>IF(ISBLANK(Sacak13[[#This Row],[Adı Soyadı]]),"",Sacak13[[#This Row],[ADET]]*Sacak13[[#This Row],[BİRİM FİYAT]])</f>
        <v/>
      </c>
      <c r="J107" s="9" t="str">
        <f>IF(ISBLANK(Sacak13[[#This Row],[ADET]]),"",SUMIF(Sacak13[Adı Soyadı],Sacak13[[#This Row],[Adı Soyadı]],Sacak13[TUTAR]))</f>
        <v/>
      </c>
    </row>
    <row r="108" spans="2:10" ht="15.6" thickTop="1" thickBot="1" x14ac:dyDescent="0.35">
      <c r="B108" s="1" t="str">
        <f>IF(ISBLANK(C108),"",SUBTOTAL(3, $C$3:C108))</f>
        <v/>
      </c>
      <c r="C108" s="34"/>
      <c r="D108" s="7"/>
      <c r="E108" s="8"/>
      <c r="F108" s="8"/>
      <c r="G108" s="8"/>
      <c r="H108" s="42" t="str">
        <f>IF(ISBLANK(Sacak13[[#This Row],[Adı Soyadı]]),"",İşçilikler!$C$5)</f>
        <v/>
      </c>
      <c r="I108" s="46" t="str">
        <f>IF(ISBLANK(Sacak13[[#This Row],[Adı Soyadı]]),"",Sacak13[[#This Row],[ADET]]*Sacak13[[#This Row],[BİRİM FİYAT]])</f>
        <v/>
      </c>
      <c r="J108" s="9" t="str">
        <f>IF(ISBLANK(Sacak13[[#This Row],[ADET]]),"",SUMIF(Sacak13[Adı Soyadı],Sacak13[[#This Row],[Adı Soyadı]],Sacak13[TUTAR]))</f>
        <v/>
      </c>
    </row>
    <row r="109" spans="2:10" ht="15.6" thickTop="1" thickBot="1" x14ac:dyDescent="0.35">
      <c r="B109" s="1" t="str">
        <f>IF(ISBLANK(C109),"",SUBTOTAL(3, $C$3:C109))</f>
        <v/>
      </c>
      <c r="C109" s="34"/>
      <c r="D109" s="7"/>
      <c r="E109" s="8"/>
      <c r="F109" s="8"/>
      <c r="G109" s="8"/>
      <c r="H109" s="42" t="str">
        <f>IF(ISBLANK(Sacak13[[#This Row],[Adı Soyadı]]),"",İşçilikler!$C$5)</f>
        <v/>
      </c>
      <c r="I109" s="46" t="str">
        <f>IF(ISBLANK(Sacak13[[#This Row],[Adı Soyadı]]),"",Sacak13[[#This Row],[ADET]]*Sacak13[[#This Row],[BİRİM FİYAT]])</f>
        <v/>
      </c>
      <c r="J109" s="9" t="str">
        <f>IF(ISBLANK(Sacak13[[#This Row],[ADET]]),"",SUMIF(Sacak13[Adı Soyadı],Sacak13[[#This Row],[Adı Soyadı]],Sacak13[TUTAR]))</f>
        <v/>
      </c>
    </row>
    <row r="110" spans="2:10" ht="15.6" thickTop="1" thickBot="1" x14ac:dyDescent="0.35">
      <c r="B110" s="1" t="str">
        <f>IF(ISBLANK(C110),"",SUBTOTAL(3, $C$3:C110))</f>
        <v/>
      </c>
      <c r="C110" s="34"/>
      <c r="D110" s="7"/>
      <c r="E110" s="8"/>
      <c r="F110" s="8"/>
      <c r="G110" s="8"/>
      <c r="H110" s="42" t="str">
        <f>IF(ISBLANK(Sacak13[[#This Row],[Adı Soyadı]]),"",İşçilikler!$C$5)</f>
        <v/>
      </c>
      <c r="I110" s="46" t="str">
        <f>IF(ISBLANK(Sacak13[[#This Row],[Adı Soyadı]]),"",Sacak13[[#This Row],[ADET]]*Sacak13[[#This Row],[BİRİM FİYAT]])</f>
        <v/>
      </c>
      <c r="J110" s="9" t="str">
        <f>IF(ISBLANK(Sacak13[[#This Row],[ADET]]),"",SUMIF(Sacak13[Adı Soyadı],Sacak13[[#This Row],[Adı Soyadı]],Sacak13[TUTAR]))</f>
        <v/>
      </c>
    </row>
    <row r="111" spans="2:10" ht="15.6" thickTop="1" thickBot="1" x14ac:dyDescent="0.35">
      <c r="B111" s="4" t="str">
        <f>IF(ISBLANK(C111),"",SUBTOTAL(3, $C$3:C111))</f>
        <v/>
      </c>
      <c r="C111" s="34"/>
      <c r="D111" s="7"/>
      <c r="E111" s="8"/>
      <c r="F111" s="8"/>
      <c r="G111" s="8"/>
      <c r="H111" s="42" t="str">
        <f>IF(ISBLANK(Sacak13[[#This Row],[Adı Soyadı]]),"",İşçilikler!$C$5)</f>
        <v/>
      </c>
      <c r="I111" s="47" t="str">
        <f>IF(ISBLANK(Sacak13[[#This Row],[Adı Soyadı]]),"",Sacak13[[#This Row],[ADET]]*Sacak13[[#This Row],[BİRİM FİYAT]])</f>
        <v/>
      </c>
      <c r="J111" s="9" t="str">
        <f>IF(ISBLANK(Sacak13[[#This Row],[ADET]]),"",SUMIF(Sacak13[Adı Soyadı],Sacak13[[#This Row],[Adı Soyadı]],Sacak13[TUTAR]))</f>
        <v/>
      </c>
    </row>
    <row r="112" spans="2:10" ht="15.6" thickTop="1" thickBot="1" x14ac:dyDescent="0.35">
      <c r="B112" s="15" t="s">
        <v>40</v>
      </c>
      <c r="C112" s="16"/>
      <c r="D112" s="16"/>
      <c r="E112" s="17"/>
      <c r="F112" s="62"/>
      <c r="G112" s="17">
        <f>SUBTOTAL(109,Sacak13[ADET])</f>
        <v>0</v>
      </c>
      <c r="H112" s="42"/>
      <c r="I112" s="42">
        <f>SUBTOTAL(109,Sacak13[TUTAR])</f>
        <v>0</v>
      </c>
      <c r="J112" s="48"/>
    </row>
    <row r="113" ht="15" thickTop="1" x14ac:dyDescent="0.3"/>
  </sheetData>
  <conditionalFormatting sqref="C3:C111">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43" min="2" max="8" man="1"/>
  </rowBreaks>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1000000}">
          <x14:formula1>
            <xm:f>'Cins'!$B$2:$B$14</xm:f>
          </x14:formula1>
          <xm:sqref>D3:D111</xm:sqref>
        </x14:dataValidation>
        <x14:dataValidation type="list" allowBlank="1" showInputMessage="1" showErrorMessage="1" xr:uid="{00000000-0002-0000-0700-000002000000}">
          <x14:formula1>
            <xm:f>Personel!$B$2:$B$59</xm:f>
          </x14:formula1>
          <xm:sqref>C3:C111</xm:sqref>
        </x14:dataValidation>
        <x14:dataValidation type="list" allowBlank="1" showInputMessage="1" showErrorMessage="1" xr:uid="{00000000-0002-0000-0700-000000000000}">
          <x14:formula1>
            <xm:f>Fiyat!$B$2:$B$35</xm:f>
          </x14:formula1>
          <xm:sqref>E3:F111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ayfa10">
    <tabColor theme="7" tint="-0.499984740745262"/>
  </sheetPr>
  <dimension ref="B1:J99"/>
  <sheetViews>
    <sheetView zoomScaleNormal="100" workbookViewId="0">
      <pane ySplit="2" topLeftCell="A3" activePane="bottomLeft" state="frozen"/>
      <selection activeCell="F31" sqref="F31"/>
      <selection pane="bottomLeft" activeCell="I3" sqref="I3"/>
    </sheetView>
  </sheetViews>
  <sheetFormatPr defaultRowHeight="14.4" x14ac:dyDescent="0.3"/>
  <cols>
    <col min="1" max="1" width="2.6640625" customWidth="1"/>
    <col min="2" max="2" width="3.88671875" style="3" customWidth="1"/>
    <col min="3" max="3" width="18.44140625" style="49" customWidth="1"/>
    <col min="4" max="4" width="8.88671875" style="49" bestFit="1" customWidth="1"/>
    <col min="5" max="5" width="5.5546875" style="49" customWidth="1"/>
    <col min="6" max="6" width="4.33203125" style="49" customWidth="1"/>
    <col min="7" max="7" width="5.6640625" style="49" customWidth="1"/>
    <col min="8" max="8" width="9.33203125" style="3" customWidth="1"/>
    <col min="9" max="10" width="9.6640625" bestFit="1" customWidth="1"/>
  </cols>
  <sheetData>
    <row r="1" spans="2:10" ht="58.95" customHeight="1" thickBot="1" x14ac:dyDescent="0.35"/>
    <row r="2" spans="2:10" ht="25.95" customHeight="1" thickTop="1" thickBot="1" x14ac:dyDescent="0.35">
      <c r="B2" s="37" t="s">
        <v>18</v>
      </c>
      <c r="C2" s="38" t="s">
        <v>17</v>
      </c>
      <c r="D2" s="39" t="s">
        <v>51</v>
      </c>
      <c r="E2" s="40" t="s">
        <v>57</v>
      </c>
      <c r="F2" s="40" t="s">
        <v>58</v>
      </c>
      <c r="G2" s="41" t="s">
        <v>0</v>
      </c>
      <c r="H2" s="50" t="s">
        <v>1</v>
      </c>
      <c r="I2" s="44" t="s">
        <v>2</v>
      </c>
      <c r="J2" s="14" t="s">
        <v>43</v>
      </c>
    </row>
    <row r="3" spans="2:10" ht="15.6" thickTop="1" thickBot="1" x14ac:dyDescent="0.35">
      <c r="B3" s="15" t="str">
        <f>IF(ISBLANK(C3),"",SUBTOTAL(3, $C$3:C3))</f>
        <v/>
      </c>
      <c r="C3" s="31"/>
      <c r="D3" s="16"/>
      <c r="E3" s="17"/>
      <c r="F3" s="17"/>
      <c r="G3" s="17"/>
      <c r="H3" s="42" t="str">
        <f>IF(ISBLANK(ElOverlogu11[[#This Row],[Adı Soyadı]]),"",İşçilikler!$C$4)</f>
        <v/>
      </c>
      <c r="I3" s="42" t="str">
        <f>IF(ISBLANK(ElOverlogu11[[#This Row],[En]]),"",(ElOverlogu11[[#This Row],[En]])*ElOverlogu11[[#This Row],[ADET]]*2*ElOverlogu11[[#This Row],[BİRİM FİYAT]]/100)</f>
        <v/>
      </c>
      <c r="J3" s="43" t="str">
        <f>IF(ISBLANK(ElOverlogu11[[#This Row],[En]]),"",SUMIF(ElOverlogu11[Adı Soyadı],ElOverlogu11[[#This Row],[Adı Soyadı]],ElOverlogu11[TUTAR]))</f>
        <v/>
      </c>
    </row>
    <row r="4" spans="2:10" ht="15.6" thickTop="1" thickBot="1" x14ac:dyDescent="0.35">
      <c r="B4" s="15" t="str">
        <f>IF(ISBLANK(C4),"",SUBTOTAL(3, $C$3:C4))</f>
        <v/>
      </c>
      <c r="C4" s="31"/>
      <c r="D4" s="16"/>
      <c r="E4" s="17"/>
      <c r="F4" s="17"/>
      <c r="G4" s="17"/>
      <c r="H4" s="42" t="str">
        <f>IF(ISBLANK(ElOverlogu11[[#This Row],[Adı Soyadı]]),"",İşçilikler!$C$4)</f>
        <v/>
      </c>
      <c r="I4" s="42" t="str">
        <f>IF(ISBLANK(ElOverlogu11[[#This Row],[En]]),"",(ElOverlogu11[[#This Row],[En]])*ElOverlogu11[[#This Row],[ADET]]*2*ElOverlogu11[[#This Row],[BİRİM FİYAT]]/100)</f>
        <v/>
      </c>
      <c r="J4" s="43" t="str">
        <f>IF(ISBLANK(ElOverlogu11[[#This Row],[En]]),"",SUMIF(ElOverlogu11[Adı Soyadı],ElOverlogu11[[#This Row],[Adı Soyadı]],ElOverlogu11[TUTAR]))</f>
        <v/>
      </c>
    </row>
    <row r="5" spans="2:10" ht="15.6" thickTop="1" thickBot="1" x14ac:dyDescent="0.35">
      <c r="B5" s="15" t="str">
        <f>IF(ISBLANK(C5),"",SUBTOTAL(3, $C$3:C5))</f>
        <v/>
      </c>
      <c r="C5" s="31"/>
      <c r="D5" s="16"/>
      <c r="E5" s="17"/>
      <c r="F5" s="17"/>
      <c r="G5" s="17"/>
      <c r="H5" s="42" t="str">
        <f>IF(ISBLANK(ElOverlogu11[[#This Row],[Adı Soyadı]]),"",İşçilikler!$C$4)</f>
        <v/>
      </c>
      <c r="I5" s="42" t="str">
        <f>IF(ISBLANK(ElOverlogu11[[#This Row],[En]]),"",(ElOverlogu11[[#This Row],[En]])*ElOverlogu11[[#This Row],[ADET]]*2*ElOverlogu11[[#This Row],[BİRİM FİYAT]]/100)</f>
        <v/>
      </c>
      <c r="J5" s="43" t="str">
        <f>IF(ISBLANK(ElOverlogu11[[#This Row],[En]]),"",SUMIF(ElOverlogu11[Adı Soyadı],ElOverlogu11[[#This Row],[Adı Soyadı]],ElOverlogu11[TUTAR]))</f>
        <v/>
      </c>
    </row>
    <row r="6" spans="2:10" ht="15.6" thickTop="1" thickBot="1" x14ac:dyDescent="0.35">
      <c r="B6" s="15" t="str">
        <f>IF(ISBLANK(C6),"",SUBTOTAL(3, $C$3:C6))</f>
        <v/>
      </c>
      <c r="C6" s="31"/>
      <c r="D6" s="16"/>
      <c r="E6" s="17"/>
      <c r="F6" s="17"/>
      <c r="G6" s="17"/>
      <c r="H6" s="42" t="str">
        <f>IF(ISBLANK(ElOverlogu11[[#This Row],[Adı Soyadı]]),"",İşçilikler!$C$4)</f>
        <v/>
      </c>
      <c r="I6" s="42" t="str">
        <f>IF(ISBLANK(ElOverlogu11[[#This Row],[En]]),"",(ElOverlogu11[[#This Row],[En]])*ElOverlogu11[[#This Row],[ADET]]*2*ElOverlogu11[[#This Row],[BİRİM FİYAT]]/100)</f>
        <v/>
      </c>
      <c r="J6" s="43" t="str">
        <f>IF(ISBLANK(ElOverlogu11[[#This Row],[En]]),"",SUMIF(ElOverlogu11[Adı Soyadı],ElOverlogu11[[#This Row],[Adı Soyadı]],ElOverlogu11[TUTAR]))</f>
        <v/>
      </c>
    </row>
    <row r="7" spans="2:10" ht="15.6" thickTop="1" thickBot="1" x14ac:dyDescent="0.35">
      <c r="B7" s="15" t="str">
        <f>IF(ISBLANK(C7),"",SUBTOTAL(3, $C$3:C7))</f>
        <v/>
      </c>
      <c r="C7" s="31"/>
      <c r="D7" s="16"/>
      <c r="E7" s="17"/>
      <c r="F7" s="17"/>
      <c r="G7" s="17"/>
      <c r="H7" s="42" t="str">
        <f>IF(ISBLANK(ElOverlogu11[[#This Row],[Adı Soyadı]]),"",İşçilikler!$C$4)</f>
        <v/>
      </c>
      <c r="I7" s="42" t="str">
        <f>IF(ISBLANK(ElOverlogu11[[#This Row],[En]]),"",(ElOverlogu11[[#This Row],[En]])*ElOverlogu11[[#This Row],[ADET]]*2*ElOverlogu11[[#This Row],[BİRİM FİYAT]]/100)</f>
        <v/>
      </c>
      <c r="J7" s="43" t="str">
        <f>IF(ISBLANK(ElOverlogu11[[#This Row],[En]]),"",SUMIF(ElOverlogu11[Adı Soyadı],ElOverlogu11[[#This Row],[Adı Soyadı]],ElOverlogu11[TUTAR]))</f>
        <v/>
      </c>
    </row>
    <row r="8" spans="2:10" ht="15.6" thickTop="1" thickBot="1" x14ac:dyDescent="0.35">
      <c r="B8" s="15" t="str">
        <f>IF(ISBLANK(C8),"",SUBTOTAL(3, $C$3:C8))</f>
        <v/>
      </c>
      <c r="C8" s="31"/>
      <c r="D8" s="16"/>
      <c r="E8" s="17"/>
      <c r="F8" s="17"/>
      <c r="G8" s="17"/>
      <c r="H8" s="42" t="str">
        <f>IF(ISBLANK(ElOverlogu11[[#This Row],[Adı Soyadı]]),"",İşçilikler!$C$4)</f>
        <v/>
      </c>
      <c r="I8" s="42" t="str">
        <f>IF(ISBLANK(ElOverlogu11[[#This Row],[En]]),"",(ElOverlogu11[[#This Row],[En]])*ElOverlogu11[[#This Row],[ADET]]*2*ElOverlogu11[[#This Row],[BİRİM FİYAT]]/100)</f>
        <v/>
      </c>
      <c r="J8" s="43" t="str">
        <f>IF(ISBLANK(ElOverlogu11[[#This Row],[En]]),"",SUMIF(ElOverlogu11[Adı Soyadı],ElOverlogu11[[#This Row],[Adı Soyadı]],ElOverlogu11[TUTAR]))</f>
        <v/>
      </c>
    </row>
    <row r="9" spans="2:10" ht="15.6" thickTop="1" thickBot="1" x14ac:dyDescent="0.35">
      <c r="B9" s="15" t="str">
        <f>IF(ISBLANK(C9),"",SUBTOTAL(3, $C$3:C9))</f>
        <v/>
      </c>
      <c r="C9" s="31"/>
      <c r="D9" s="16"/>
      <c r="E9" s="17"/>
      <c r="F9" s="17"/>
      <c r="G9" s="17"/>
      <c r="H9" s="42" t="str">
        <f>IF(ISBLANK(ElOverlogu11[[#This Row],[Adı Soyadı]]),"",İşçilikler!$C$4)</f>
        <v/>
      </c>
      <c r="I9" s="42" t="str">
        <f>IF(ISBLANK(ElOverlogu11[[#This Row],[En]]),"",(ElOverlogu11[[#This Row],[En]])*ElOverlogu11[[#This Row],[ADET]]*2*ElOverlogu11[[#This Row],[BİRİM FİYAT]]/100)</f>
        <v/>
      </c>
      <c r="J9" s="43" t="str">
        <f>IF(ISBLANK(ElOverlogu11[[#This Row],[En]]),"",SUMIF(ElOverlogu11[Adı Soyadı],ElOverlogu11[[#This Row],[Adı Soyadı]],ElOverlogu11[TUTAR]))</f>
        <v/>
      </c>
    </row>
    <row r="10" spans="2:10" ht="15.6" thickTop="1" thickBot="1" x14ac:dyDescent="0.35">
      <c r="B10" s="15" t="str">
        <f>IF(ISBLANK(C10),"",SUBTOTAL(3, $C$3:C10))</f>
        <v/>
      </c>
      <c r="C10" s="31"/>
      <c r="D10" s="16"/>
      <c r="E10" s="17"/>
      <c r="F10" s="17"/>
      <c r="G10" s="17"/>
      <c r="H10" s="42" t="str">
        <f>IF(ISBLANK(ElOverlogu11[[#This Row],[Adı Soyadı]]),"",İşçilikler!$C$4)</f>
        <v/>
      </c>
      <c r="I10" s="42" t="str">
        <f>IF(ISBLANK(ElOverlogu11[[#This Row],[En]]),"",(ElOverlogu11[[#This Row],[En]])*ElOverlogu11[[#This Row],[ADET]]*2*ElOverlogu11[[#This Row],[BİRİM FİYAT]]/100)</f>
        <v/>
      </c>
      <c r="J10" s="43" t="str">
        <f>IF(ISBLANK(ElOverlogu11[[#This Row],[En]]),"",SUMIF(ElOverlogu11[Adı Soyadı],ElOverlogu11[[#This Row],[Adı Soyadı]],ElOverlogu11[TUTAR]))</f>
        <v/>
      </c>
    </row>
    <row r="11" spans="2:10" ht="15.6" thickTop="1" thickBot="1" x14ac:dyDescent="0.35">
      <c r="B11" s="15" t="str">
        <f>IF(ISBLANK(C11),"",SUBTOTAL(3, $C$3:C11))</f>
        <v/>
      </c>
      <c r="C11" s="31"/>
      <c r="D11" s="16"/>
      <c r="E11" s="17"/>
      <c r="F11" s="17"/>
      <c r="G11" s="17"/>
      <c r="H11" s="42" t="str">
        <f>IF(ISBLANK(ElOverlogu11[[#This Row],[Adı Soyadı]]),"",İşçilikler!$C$4)</f>
        <v/>
      </c>
      <c r="I11" s="42" t="str">
        <f>IF(ISBLANK(ElOverlogu11[[#This Row],[En]]),"",(ElOverlogu11[[#This Row],[En]])*ElOverlogu11[[#This Row],[ADET]]*2*ElOverlogu11[[#This Row],[BİRİM FİYAT]]/100)</f>
        <v/>
      </c>
      <c r="J11" s="43" t="str">
        <f>IF(ISBLANK(ElOverlogu11[[#This Row],[En]]),"",SUMIF(ElOverlogu11[Adı Soyadı],ElOverlogu11[[#This Row],[Adı Soyadı]],ElOverlogu11[TUTAR]))</f>
        <v/>
      </c>
    </row>
    <row r="12" spans="2:10" ht="15.6" thickTop="1" thickBot="1" x14ac:dyDescent="0.35">
      <c r="B12" s="15" t="str">
        <f>IF(ISBLANK(C12),"",SUBTOTAL(3, $C$3:C12))</f>
        <v/>
      </c>
      <c r="C12" s="31"/>
      <c r="D12" s="16"/>
      <c r="E12" s="17"/>
      <c r="F12" s="17"/>
      <c r="G12" s="17"/>
      <c r="H12" s="42" t="str">
        <f>IF(ISBLANK(ElOverlogu11[[#This Row],[Adı Soyadı]]),"",İşçilikler!$C$4)</f>
        <v/>
      </c>
      <c r="I12" s="42" t="str">
        <f>IF(ISBLANK(ElOverlogu11[[#This Row],[En]]),"",(ElOverlogu11[[#This Row],[En]])*ElOverlogu11[[#This Row],[ADET]]*2*ElOverlogu11[[#This Row],[BİRİM FİYAT]]/100)</f>
        <v/>
      </c>
      <c r="J12" s="43" t="str">
        <f>IF(ISBLANK(ElOverlogu11[[#This Row],[En]]),"",SUMIF(ElOverlogu11[Adı Soyadı],ElOverlogu11[[#This Row],[Adı Soyadı]],ElOverlogu11[TUTAR]))</f>
        <v/>
      </c>
    </row>
    <row r="13" spans="2:10" ht="15.6" thickTop="1" thickBot="1" x14ac:dyDescent="0.35">
      <c r="B13" s="15" t="str">
        <f>IF(ISBLANK(C13),"",SUBTOTAL(3, $C$3:C13))</f>
        <v/>
      </c>
      <c r="C13" s="31"/>
      <c r="D13" s="16"/>
      <c r="E13" s="17"/>
      <c r="F13" s="17"/>
      <c r="G13" s="17"/>
      <c r="H13" s="42" t="str">
        <f>IF(ISBLANK(ElOverlogu11[[#This Row],[Adı Soyadı]]),"",İşçilikler!$C$4)</f>
        <v/>
      </c>
      <c r="I13" s="42" t="str">
        <f>IF(ISBLANK(ElOverlogu11[[#This Row],[En]]),"",(ElOverlogu11[[#This Row],[En]])*ElOverlogu11[[#This Row],[ADET]]*2*ElOverlogu11[[#This Row],[BİRİM FİYAT]]/100)</f>
        <v/>
      </c>
      <c r="J13" s="43" t="str">
        <f>IF(ISBLANK(ElOverlogu11[[#This Row],[En]]),"",SUMIF(ElOverlogu11[Adı Soyadı],ElOverlogu11[[#This Row],[Adı Soyadı]],ElOverlogu11[TUTAR]))</f>
        <v/>
      </c>
    </row>
    <row r="14" spans="2:10" ht="15.6" thickTop="1" thickBot="1" x14ac:dyDescent="0.35">
      <c r="B14" s="15" t="str">
        <f>IF(ISBLANK(C14),"",SUBTOTAL(3, $C$3:C14))</f>
        <v/>
      </c>
      <c r="C14" s="31"/>
      <c r="D14" s="16"/>
      <c r="E14" s="17"/>
      <c r="F14" s="17"/>
      <c r="G14" s="17"/>
      <c r="H14" s="42" t="str">
        <f>IF(ISBLANK(ElOverlogu11[[#This Row],[Adı Soyadı]]),"",İşçilikler!$C$4)</f>
        <v/>
      </c>
      <c r="I14" s="42" t="str">
        <f>IF(ISBLANK(ElOverlogu11[[#This Row],[En]]),"",(ElOverlogu11[[#This Row],[En]])*ElOverlogu11[[#This Row],[ADET]]*2*ElOverlogu11[[#This Row],[BİRİM FİYAT]]/100)</f>
        <v/>
      </c>
      <c r="J14" s="43" t="str">
        <f>IF(ISBLANK(ElOverlogu11[[#This Row],[En]]),"",SUMIF(ElOverlogu11[Adı Soyadı],ElOverlogu11[[#This Row],[Adı Soyadı]],ElOverlogu11[TUTAR]))</f>
        <v/>
      </c>
    </row>
    <row r="15" spans="2:10" ht="15.6" thickTop="1" thickBot="1" x14ac:dyDescent="0.35">
      <c r="B15" s="15" t="str">
        <f>IF(ISBLANK(C15),"",SUBTOTAL(3, $C$3:C15))</f>
        <v/>
      </c>
      <c r="C15" s="31"/>
      <c r="D15" s="16"/>
      <c r="E15" s="17"/>
      <c r="F15" s="17"/>
      <c r="G15" s="17"/>
      <c r="H15" s="42" t="str">
        <f>IF(ISBLANK(ElOverlogu11[[#This Row],[Adı Soyadı]]),"",İşçilikler!$C$4)</f>
        <v/>
      </c>
      <c r="I15" s="42" t="str">
        <f>IF(ISBLANK(ElOverlogu11[[#This Row],[En]]),"",(ElOverlogu11[[#This Row],[En]])*ElOverlogu11[[#This Row],[ADET]]*2*ElOverlogu11[[#This Row],[BİRİM FİYAT]]/100)</f>
        <v/>
      </c>
      <c r="J15" s="43" t="str">
        <f>IF(ISBLANK(ElOverlogu11[[#This Row],[En]]),"",SUMIF(ElOverlogu11[Adı Soyadı],ElOverlogu11[[#This Row],[Adı Soyadı]],ElOverlogu11[TUTAR]))</f>
        <v/>
      </c>
    </row>
    <row r="16" spans="2:10" ht="15.6" thickTop="1" thickBot="1" x14ac:dyDescent="0.35">
      <c r="B16" s="15" t="str">
        <f>IF(ISBLANK(C16),"",SUBTOTAL(3, $C$3:C16))</f>
        <v/>
      </c>
      <c r="C16" s="31"/>
      <c r="D16" s="16"/>
      <c r="E16" s="17"/>
      <c r="F16" s="17"/>
      <c r="G16" s="17"/>
      <c r="H16" s="42" t="str">
        <f>IF(ISBLANK(ElOverlogu11[[#This Row],[Adı Soyadı]]),"",İşçilikler!$C$4)</f>
        <v/>
      </c>
      <c r="I16" s="42" t="str">
        <f>IF(ISBLANK(ElOverlogu11[[#This Row],[En]]),"",(ElOverlogu11[[#This Row],[En]])*ElOverlogu11[[#This Row],[ADET]]*2*ElOverlogu11[[#This Row],[BİRİM FİYAT]]/100)</f>
        <v/>
      </c>
      <c r="J16" s="43" t="str">
        <f>IF(ISBLANK(ElOverlogu11[[#This Row],[En]]),"",SUMIF(ElOverlogu11[Adı Soyadı],ElOverlogu11[[#This Row],[Adı Soyadı]],ElOverlogu11[TUTAR]))</f>
        <v/>
      </c>
    </row>
    <row r="17" spans="2:10" ht="15.6" thickTop="1" thickBot="1" x14ac:dyDescent="0.35">
      <c r="B17" s="15" t="str">
        <f>IF(ISBLANK(C17),"",SUBTOTAL(3, $C$3:C17))</f>
        <v/>
      </c>
      <c r="C17" s="31"/>
      <c r="D17" s="16"/>
      <c r="E17" s="17"/>
      <c r="F17" s="17"/>
      <c r="G17" s="17"/>
      <c r="H17" s="42" t="str">
        <f>IF(ISBLANK(ElOverlogu11[[#This Row],[Adı Soyadı]]),"",İşçilikler!$C$4)</f>
        <v/>
      </c>
      <c r="I17" s="42" t="str">
        <f>IF(ISBLANK(ElOverlogu11[[#This Row],[En]]),"",(ElOverlogu11[[#This Row],[En]])*ElOverlogu11[[#This Row],[ADET]]*2*ElOverlogu11[[#This Row],[BİRİM FİYAT]]/100)</f>
        <v/>
      </c>
      <c r="J17" s="43" t="str">
        <f>IF(ISBLANK(ElOverlogu11[[#This Row],[En]]),"",SUMIF(ElOverlogu11[Adı Soyadı],ElOverlogu11[[#This Row],[Adı Soyadı]],ElOverlogu11[TUTAR]))</f>
        <v/>
      </c>
    </row>
    <row r="18" spans="2:10" ht="15.6" thickTop="1" thickBot="1" x14ac:dyDescent="0.35">
      <c r="B18" s="15" t="str">
        <f>IF(ISBLANK(C18),"",SUBTOTAL(3, $C$3:C18))</f>
        <v/>
      </c>
      <c r="C18" s="31"/>
      <c r="D18" s="16"/>
      <c r="E18" s="17"/>
      <c r="F18" s="17"/>
      <c r="G18" s="17"/>
      <c r="H18" s="42" t="str">
        <f>IF(ISBLANK(ElOverlogu11[[#This Row],[Adı Soyadı]]),"",İşçilikler!$C$4)</f>
        <v/>
      </c>
      <c r="I18" s="42" t="str">
        <f>IF(ISBLANK(ElOverlogu11[[#This Row],[En]]),"",(ElOverlogu11[[#This Row],[En]])*ElOverlogu11[[#This Row],[ADET]]*2*ElOverlogu11[[#This Row],[BİRİM FİYAT]]/100)</f>
        <v/>
      </c>
      <c r="J18" s="43" t="str">
        <f>IF(ISBLANK(ElOverlogu11[[#This Row],[En]]),"",SUMIF(ElOverlogu11[Adı Soyadı],ElOverlogu11[[#This Row],[Adı Soyadı]],ElOverlogu11[TUTAR]))</f>
        <v/>
      </c>
    </row>
    <row r="19" spans="2:10" ht="15.6" thickTop="1" thickBot="1" x14ac:dyDescent="0.35">
      <c r="B19" s="15" t="str">
        <f>IF(ISBLANK(C19),"",SUBTOTAL(3, $C$3:C19))</f>
        <v/>
      </c>
      <c r="C19" s="31"/>
      <c r="D19" s="16"/>
      <c r="E19" s="17"/>
      <c r="F19" s="17"/>
      <c r="G19" s="17"/>
      <c r="H19" s="42" t="str">
        <f>IF(ISBLANK(ElOverlogu11[[#This Row],[Adı Soyadı]]),"",İşçilikler!$C$4)</f>
        <v/>
      </c>
      <c r="I19" s="42" t="str">
        <f>IF(ISBLANK(ElOverlogu11[[#This Row],[En]]),"",(ElOverlogu11[[#This Row],[En]])*ElOverlogu11[[#This Row],[ADET]]*2*ElOverlogu11[[#This Row],[BİRİM FİYAT]]/100)</f>
        <v/>
      </c>
      <c r="J19" s="43" t="str">
        <f>IF(ISBLANK(ElOverlogu11[[#This Row],[En]]),"",SUMIF(ElOverlogu11[Adı Soyadı],ElOverlogu11[[#This Row],[Adı Soyadı]],ElOverlogu11[TUTAR]))</f>
        <v/>
      </c>
    </row>
    <row r="20" spans="2:10" ht="15.6" thickTop="1" thickBot="1" x14ac:dyDescent="0.35">
      <c r="B20" s="15" t="str">
        <f>IF(ISBLANK(C20),"",SUBTOTAL(3, $C$3:C20))</f>
        <v/>
      </c>
      <c r="C20" s="31"/>
      <c r="D20" s="16"/>
      <c r="E20" s="17"/>
      <c r="F20" s="17"/>
      <c r="G20" s="17"/>
      <c r="H20" s="42" t="str">
        <f>IF(ISBLANK(ElOverlogu11[[#This Row],[Adı Soyadı]]),"",İşçilikler!$C$4)</f>
        <v/>
      </c>
      <c r="I20" s="42" t="str">
        <f>IF(ISBLANK(ElOverlogu11[[#This Row],[En]]),"",(ElOverlogu11[[#This Row],[En]])*ElOverlogu11[[#This Row],[ADET]]*2*ElOverlogu11[[#This Row],[BİRİM FİYAT]]/100)</f>
        <v/>
      </c>
      <c r="J20" s="43" t="str">
        <f>IF(ISBLANK(ElOverlogu11[[#This Row],[En]]),"",SUMIF(ElOverlogu11[Adı Soyadı],ElOverlogu11[[#This Row],[Adı Soyadı]],ElOverlogu11[TUTAR]))</f>
        <v/>
      </c>
    </row>
    <row r="21" spans="2:10" ht="15.6" thickTop="1" thickBot="1" x14ac:dyDescent="0.35">
      <c r="B21" s="15" t="str">
        <f>IF(ISBLANK(C21),"",SUBTOTAL(3, $C$3:C21))</f>
        <v/>
      </c>
      <c r="C21" s="31"/>
      <c r="D21" s="16"/>
      <c r="E21" s="17"/>
      <c r="F21" s="17"/>
      <c r="G21" s="17"/>
      <c r="H21" s="42" t="str">
        <f>IF(ISBLANK(ElOverlogu11[[#This Row],[Adı Soyadı]]),"",İşçilikler!$C$4)</f>
        <v/>
      </c>
      <c r="I21" s="42" t="str">
        <f>IF(ISBLANK(ElOverlogu11[[#This Row],[En]]),"",(ElOverlogu11[[#This Row],[En]])*ElOverlogu11[[#This Row],[ADET]]*2*ElOverlogu11[[#This Row],[BİRİM FİYAT]]/100)</f>
        <v/>
      </c>
      <c r="J21" s="43" t="str">
        <f>IF(ISBLANK(ElOverlogu11[[#This Row],[En]]),"",SUMIF(ElOverlogu11[Adı Soyadı],ElOverlogu11[[#This Row],[Adı Soyadı]],ElOverlogu11[TUTAR]))</f>
        <v/>
      </c>
    </row>
    <row r="22" spans="2:10" ht="15.6" thickTop="1" thickBot="1" x14ac:dyDescent="0.35">
      <c r="B22" s="15" t="str">
        <f>IF(ISBLANK(C22),"",SUBTOTAL(3, $C$3:C22))</f>
        <v/>
      </c>
      <c r="C22" s="31"/>
      <c r="D22" s="16"/>
      <c r="E22" s="17"/>
      <c r="F22" s="17"/>
      <c r="G22" s="17"/>
      <c r="H22" s="42" t="str">
        <f>IF(ISBLANK(ElOverlogu11[[#This Row],[Adı Soyadı]]),"",İşçilikler!$C$4)</f>
        <v/>
      </c>
      <c r="I22" s="42" t="str">
        <f>IF(ISBLANK(ElOverlogu11[[#This Row],[En]]),"",(ElOverlogu11[[#This Row],[En]])*ElOverlogu11[[#This Row],[ADET]]*2*ElOverlogu11[[#This Row],[BİRİM FİYAT]]/100)</f>
        <v/>
      </c>
      <c r="J22" s="43" t="str">
        <f>IF(ISBLANK(ElOverlogu11[[#This Row],[En]]),"",SUMIF(ElOverlogu11[Adı Soyadı],ElOverlogu11[[#This Row],[Adı Soyadı]],ElOverlogu11[TUTAR]))</f>
        <v/>
      </c>
    </row>
    <row r="23" spans="2:10" ht="15.6" thickTop="1" thickBot="1" x14ac:dyDescent="0.35">
      <c r="B23" s="15" t="str">
        <f>IF(ISBLANK(C23),"",SUBTOTAL(3, $C$3:C23))</f>
        <v/>
      </c>
      <c r="C23" s="31"/>
      <c r="D23" s="16"/>
      <c r="E23" s="17"/>
      <c r="F23" s="17"/>
      <c r="G23" s="17"/>
      <c r="H23" s="42" t="str">
        <f>IF(ISBLANK(ElOverlogu11[[#This Row],[Adı Soyadı]]),"",İşçilikler!$C$4)</f>
        <v/>
      </c>
      <c r="I23" s="42" t="str">
        <f>IF(ISBLANK(ElOverlogu11[[#This Row],[En]]),"",(ElOverlogu11[[#This Row],[En]])*ElOverlogu11[[#This Row],[ADET]]*2*ElOverlogu11[[#This Row],[BİRİM FİYAT]]/100)</f>
        <v/>
      </c>
      <c r="J23" s="43" t="str">
        <f>IF(ISBLANK(ElOverlogu11[[#This Row],[En]]),"",SUMIF(ElOverlogu11[Adı Soyadı],ElOverlogu11[[#This Row],[Adı Soyadı]],ElOverlogu11[TUTAR]))</f>
        <v/>
      </c>
    </row>
    <row r="24" spans="2:10" ht="15.6" thickTop="1" thickBot="1" x14ac:dyDescent="0.35">
      <c r="B24" s="15" t="str">
        <f>IF(ISBLANK(C24),"",SUBTOTAL(3, $C$3:C24))</f>
        <v/>
      </c>
      <c r="C24" s="31"/>
      <c r="D24" s="16"/>
      <c r="E24" s="17"/>
      <c r="F24" s="17"/>
      <c r="G24" s="17"/>
      <c r="H24" s="42" t="str">
        <f>IF(ISBLANK(ElOverlogu11[[#This Row],[Adı Soyadı]]),"",İşçilikler!$C$4)</f>
        <v/>
      </c>
      <c r="I24" s="42" t="str">
        <f>IF(ISBLANK(ElOverlogu11[[#This Row],[En]]),"",(ElOverlogu11[[#This Row],[En]])*ElOverlogu11[[#This Row],[ADET]]*2*ElOverlogu11[[#This Row],[BİRİM FİYAT]]/100)</f>
        <v/>
      </c>
      <c r="J24" s="43" t="str">
        <f>IF(ISBLANK(ElOverlogu11[[#This Row],[En]]),"",SUMIF(ElOverlogu11[Adı Soyadı],ElOverlogu11[[#This Row],[Adı Soyadı]],ElOverlogu11[TUTAR]))</f>
        <v/>
      </c>
    </row>
    <row r="25" spans="2:10" ht="15.6" thickTop="1" thickBot="1" x14ac:dyDescent="0.35">
      <c r="B25" s="15" t="str">
        <f>IF(ISBLANK(C25),"",SUBTOTAL(3, $C$3:C25))</f>
        <v/>
      </c>
      <c r="C25" s="31"/>
      <c r="D25" s="16"/>
      <c r="E25" s="17"/>
      <c r="F25" s="17"/>
      <c r="G25" s="17"/>
      <c r="H25" s="42" t="str">
        <f>IF(ISBLANK(ElOverlogu11[[#This Row],[Adı Soyadı]]),"",İşçilikler!$C$4)</f>
        <v/>
      </c>
      <c r="I25" s="42" t="str">
        <f>IF(ISBLANK(ElOverlogu11[[#This Row],[En]]),"",(ElOverlogu11[[#This Row],[En]])*ElOverlogu11[[#This Row],[ADET]]*2*ElOverlogu11[[#This Row],[BİRİM FİYAT]]/100)</f>
        <v/>
      </c>
      <c r="J25" s="43" t="str">
        <f>IF(ISBLANK(ElOverlogu11[[#This Row],[En]]),"",SUMIF(ElOverlogu11[Adı Soyadı],ElOverlogu11[[#This Row],[Adı Soyadı]],ElOverlogu11[TUTAR]))</f>
        <v/>
      </c>
    </row>
    <row r="26" spans="2:10" ht="15.6" thickTop="1" thickBot="1" x14ac:dyDescent="0.35">
      <c r="B26" s="15" t="str">
        <f>IF(ISBLANK(C26),"",SUBTOTAL(3, $C$3:C26))</f>
        <v/>
      </c>
      <c r="C26" s="31"/>
      <c r="D26" s="16"/>
      <c r="E26" s="17"/>
      <c r="F26" s="17"/>
      <c r="G26" s="17"/>
      <c r="H26" s="42" t="str">
        <f>IF(ISBLANK(ElOverlogu11[[#This Row],[Adı Soyadı]]),"",İşçilikler!$C$4)</f>
        <v/>
      </c>
      <c r="I26" s="42" t="str">
        <f>IF(ISBLANK(ElOverlogu11[[#This Row],[En]]),"",(ElOverlogu11[[#This Row],[En]])*ElOverlogu11[[#This Row],[ADET]]*2*ElOverlogu11[[#This Row],[BİRİM FİYAT]]/100)</f>
        <v/>
      </c>
      <c r="J26" s="43" t="str">
        <f>IF(ISBLANK(ElOverlogu11[[#This Row],[En]]),"",SUMIF(ElOverlogu11[Adı Soyadı],ElOverlogu11[[#This Row],[Adı Soyadı]],ElOverlogu11[TUTAR]))</f>
        <v/>
      </c>
    </row>
    <row r="27" spans="2:10" ht="15.6" thickTop="1" thickBot="1" x14ac:dyDescent="0.35">
      <c r="B27" s="15" t="str">
        <f>IF(ISBLANK(C27),"",SUBTOTAL(3, $C$3:C27))</f>
        <v/>
      </c>
      <c r="C27" s="31"/>
      <c r="D27" s="16"/>
      <c r="E27" s="17"/>
      <c r="F27" s="17"/>
      <c r="G27" s="17"/>
      <c r="H27" s="42" t="str">
        <f>IF(ISBLANK(ElOverlogu11[[#This Row],[Adı Soyadı]]),"",İşçilikler!$C$4)</f>
        <v/>
      </c>
      <c r="I27" s="42" t="str">
        <f>IF(ISBLANK(ElOverlogu11[[#This Row],[En]]),"",(ElOverlogu11[[#This Row],[En]])*ElOverlogu11[[#This Row],[ADET]]*2*ElOverlogu11[[#This Row],[BİRİM FİYAT]]/100)</f>
        <v/>
      </c>
      <c r="J27" s="43" t="str">
        <f>IF(ISBLANK(ElOverlogu11[[#This Row],[En]]),"",SUMIF(ElOverlogu11[Adı Soyadı],ElOverlogu11[[#This Row],[Adı Soyadı]],ElOverlogu11[TUTAR]))</f>
        <v/>
      </c>
    </row>
    <row r="28" spans="2:10" ht="15.6" thickTop="1" thickBot="1" x14ac:dyDescent="0.35">
      <c r="B28" s="15" t="str">
        <f>IF(ISBLANK(C28),"",SUBTOTAL(3, $C$3:C28))</f>
        <v/>
      </c>
      <c r="C28" s="31"/>
      <c r="D28" s="16"/>
      <c r="E28" s="17"/>
      <c r="F28" s="17"/>
      <c r="G28" s="17"/>
      <c r="H28" s="42" t="str">
        <f>IF(ISBLANK(ElOverlogu11[[#This Row],[Adı Soyadı]]),"",İşçilikler!$C$4)</f>
        <v/>
      </c>
      <c r="I28" s="42" t="str">
        <f>IF(ISBLANK(ElOverlogu11[[#This Row],[En]]),"",(ElOverlogu11[[#This Row],[En]])*ElOverlogu11[[#This Row],[ADET]]*2*ElOverlogu11[[#This Row],[BİRİM FİYAT]]/100)</f>
        <v/>
      </c>
      <c r="J28" s="43" t="str">
        <f>IF(ISBLANK(ElOverlogu11[[#This Row],[En]]),"",SUMIF(ElOverlogu11[Adı Soyadı],ElOverlogu11[[#This Row],[Adı Soyadı]],ElOverlogu11[TUTAR]))</f>
        <v/>
      </c>
    </row>
    <row r="29" spans="2:10" ht="15.6" thickTop="1" thickBot="1" x14ac:dyDescent="0.35">
      <c r="B29" s="15" t="str">
        <f>IF(ISBLANK(C29),"",SUBTOTAL(3, $C$3:C29))</f>
        <v/>
      </c>
      <c r="C29" s="31"/>
      <c r="D29" s="16"/>
      <c r="E29" s="17"/>
      <c r="F29" s="17"/>
      <c r="G29" s="17"/>
      <c r="H29" s="42" t="str">
        <f>IF(ISBLANK(ElOverlogu11[[#This Row],[Adı Soyadı]]),"",İşçilikler!$C$4)</f>
        <v/>
      </c>
      <c r="I29" s="42" t="str">
        <f>IF(ISBLANK(ElOverlogu11[[#This Row],[En]]),"",(ElOverlogu11[[#This Row],[En]])*ElOverlogu11[[#This Row],[ADET]]*2*ElOverlogu11[[#This Row],[BİRİM FİYAT]]/100)</f>
        <v/>
      </c>
      <c r="J29" s="43" t="str">
        <f>IF(ISBLANK(ElOverlogu11[[#This Row],[En]]),"",SUMIF(ElOverlogu11[Adı Soyadı],ElOverlogu11[[#This Row],[Adı Soyadı]],ElOverlogu11[TUTAR]))</f>
        <v/>
      </c>
    </row>
    <row r="30" spans="2:10" ht="15.6" thickTop="1" thickBot="1" x14ac:dyDescent="0.35">
      <c r="B30" s="15" t="str">
        <f>IF(ISBLANK(C30),"",SUBTOTAL(3, $C$3:C30))</f>
        <v/>
      </c>
      <c r="C30" s="31"/>
      <c r="D30" s="16"/>
      <c r="E30" s="17"/>
      <c r="F30" s="17"/>
      <c r="G30" s="17"/>
      <c r="H30" s="42" t="str">
        <f>IF(ISBLANK(ElOverlogu11[[#This Row],[Adı Soyadı]]),"",İşçilikler!$C$4)</f>
        <v/>
      </c>
      <c r="I30" s="42" t="str">
        <f>IF(ISBLANK(ElOverlogu11[[#This Row],[En]]),"",(ElOverlogu11[[#This Row],[En]])*ElOverlogu11[[#This Row],[ADET]]*2*ElOverlogu11[[#This Row],[BİRİM FİYAT]]/100)</f>
        <v/>
      </c>
      <c r="J30" s="43" t="str">
        <f>IF(ISBLANK(ElOverlogu11[[#This Row],[En]]),"",SUMIF(ElOverlogu11[Adı Soyadı],ElOverlogu11[[#This Row],[Adı Soyadı]],ElOverlogu11[TUTAR]))</f>
        <v/>
      </c>
    </row>
    <row r="31" spans="2:10" ht="15.6" thickTop="1" thickBot="1" x14ac:dyDescent="0.35">
      <c r="B31" s="15" t="str">
        <f>IF(ISBLANK(C31),"",SUBTOTAL(3, $C$3:C31))</f>
        <v/>
      </c>
      <c r="C31" s="31"/>
      <c r="D31" s="16"/>
      <c r="E31" s="17"/>
      <c r="F31" s="17"/>
      <c r="G31" s="17"/>
      <c r="H31" s="42" t="str">
        <f>IF(ISBLANK(ElOverlogu11[[#This Row],[Adı Soyadı]]),"",İşçilikler!$C$4)</f>
        <v/>
      </c>
      <c r="I31" s="42" t="str">
        <f>IF(ISBLANK(ElOverlogu11[[#This Row],[En]]),"",(ElOverlogu11[[#This Row],[En]])*ElOverlogu11[[#This Row],[ADET]]*2*ElOverlogu11[[#This Row],[BİRİM FİYAT]]/100)</f>
        <v/>
      </c>
      <c r="J31" s="43" t="str">
        <f>IF(ISBLANK(ElOverlogu11[[#This Row],[En]]),"",SUMIF(ElOverlogu11[Adı Soyadı],ElOverlogu11[[#This Row],[Adı Soyadı]],ElOverlogu11[TUTAR]))</f>
        <v/>
      </c>
    </row>
    <row r="32" spans="2:10" ht="15.6" thickTop="1" thickBot="1" x14ac:dyDescent="0.35">
      <c r="B32" s="15" t="str">
        <f>IF(ISBLANK(C32),"",SUBTOTAL(3, $C$3:C32))</f>
        <v/>
      </c>
      <c r="C32" s="31"/>
      <c r="D32" s="16"/>
      <c r="E32" s="17"/>
      <c r="F32" s="17"/>
      <c r="G32" s="17"/>
      <c r="H32" s="42" t="str">
        <f>IF(ISBLANK(ElOverlogu11[[#This Row],[Adı Soyadı]]),"",İşçilikler!$C$4)</f>
        <v/>
      </c>
      <c r="I32" s="42" t="str">
        <f>IF(ISBLANK(ElOverlogu11[[#This Row],[En]]),"",(ElOverlogu11[[#This Row],[En]])*ElOverlogu11[[#This Row],[ADET]]*2*ElOverlogu11[[#This Row],[BİRİM FİYAT]]/100)</f>
        <v/>
      </c>
      <c r="J32" s="43" t="str">
        <f>IF(ISBLANK(ElOverlogu11[[#This Row],[En]]),"",SUMIF(ElOverlogu11[Adı Soyadı],ElOverlogu11[[#This Row],[Adı Soyadı]],ElOverlogu11[TUTAR]))</f>
        <v/>
      </c>
    </row>
    <row r="33" spans="2:10" ht="15.6" thickTop="1" thickBot="1" x14ac:dyDescent="0.35">
      <c r="B33" s="15" t="str">
        <f>IF(ISBLANK(C33),"",SUBTOTAL(3, $C$3:C33))</f>
        <v/>
      </c>
      <c r="C33" s="31"/>
      <c r="D33" s="16"/>
      <c r="E33" s="17"/>
      <c r="F33" s="17"/>
      <c r="G33" s="17"/>
      <c r="H33" s="42" t="str">
        <f>IF(ISBLANK(ElOverlogu11[[#This Row],[Adı Soyadı]]),"",İşçilikler!$C$4)</f>
        <v/>
      </c>
      <c r="I33" s="42" t="str">
        <f>IF(ISBLANK(ElOverlogu11[[#This Row],[En]]),"",(ElOverlogu11[[#This Row],[En]])*ElOverlogu11[[#This Row],[ADET]]*2*ElOverlogu11[[#This Row],[BİRİM FİYAT]]/100)</f>
        <v/>
      </c>
      <c r="J33" s="43" t="str">
        <f>IF(ISBLANK(ElOverlogu11[[#This Row],[En]]),"",SUMIF(ElOverlogu11[Adı Soyadı],ElOverlogu11[[#This Row],[Adı Soyadı]],ElOverlogu11[TUTAR]))</f>
        <v/>
      </c>
    </row>
    <row r="34" spans="2:10" ht="15.6" thickTop="1" thickBot="1" x14ac:dyDescent="0.35">
      <c r="B34" s="15" t="str">
        <f>IF(ISBLANK(C34),"",SUBTOTAL(3, $C$3:C34))</f>
        <v/>
      </c>
      <c r="C34" s="31"/>
      <c r="D34" s="16"/>
      <c r="E34" s="17"/>
      <c r="F34" s="17"/>
      <c r="G34" s="17"/>
      <c r="H34" s="42" t="str">
        <f>IF(ISBLANK(ElOverlogu11[[#This Row],[Adı Soyadı]]),"",İşçilikler!$C$4)</f>
        <v/>
      </c>
      <c r="I34" s="42" t="str">
        <f>IF(ISBLANK(ElOverlogu11[[#This Row],[En]]),"",(ElOverlogu11[[#This Row],[En]])*ElOverlogu11[[#This Row],[ADET]]*2*ElOverlogu11[[#This Row],[BİRİM FİYAT]]/100)</f>
        <v/>
      </c>
      <c r="J34" s="43" t="str">
        <f>IF(ISBLANK(ElOverlogu11[[#This Row],[En]]),"",SUMIF(ElOverlogu11[Adı Soyadı],ElOverlogu11[[#This Row],[Adı Soyadı]],ElOverlogu11[TUTAR]))</f>
        <v/>
      </c>
    </row>
    <row r="35" spans="2:10" ht="15.6" thickTop="1" thickBot="1" x14ac:dyDescent="0.35">
      <c r="B35" s="15" t="str">
        <f>IF(ISBLANK(C35),"",SUBTOTAL(3, $C$3:C35))</f>
        <v/>
      </c>
      <c r="C35" s="31"/>
      <c r="D35" s="16"/>
      <c r="E35" s="17"/>
      <c r="F35" s="17"/>
      <c r="G35" s="17"/>
      <c r="H35" s="42" t="str">
        <f>IF(ISBLANK(ElOverlogu11[[#This Row],[Adı Soyadı]]),"",İşçilikler!$C$4)</f>
        <v/>
      </c>
      <c r="I35" s="42" t="str">
        <f>IF(ISBLANK(ElOverlogu11[[#This Row],[En]]),"",(ElOverlogu11[[#This Row],[En]])*ElOverlogu11[[#This Row],[ADET]]*2*ElOverlogu11[[#This Row],[BİRİM FİYAT]]/100)</f>
        <v/>
      </c>
      <c r="J35" s="43" t="str">
        <f>IF(ISBLANK(ElOverlogu11[[#This Row],[En]]),"",SUMIF(ElOverlogu11[Adı Soyadı],ElOverlogu11[[#This Row],[Adı Soyadı]],ElOverlogu11[TUTAR]))</f>
        <v/>
      </c>
    </row>
    <row r="36" spans="2:10" ht="15.6" thickTop="1" thickBot="1" x14ac:dyDescent="0.35">
      <c r="B36" s="15" t="str">
        <f>IF(ISBLANK(C36),"",SUBTOTAL(3, $C$3:C36))</f>
        <v/>
      </c>
      <c r="C36" s="31"/>
      <c r="D36" s="16"/>
      <c r="E36" s="17"/>
      <c r="F36" s="17"/>
      <c r="G36" s="17"/>
      <c r="H36" s="42" t="str">
        <f>IF(ISBLANK(ElOverlogu11[[#This Row],[Adı Soyadı]]),"",İşçilikler!$C$4)</f>
        <v/>
      </c>
      <c r="I36" s="42" t="str">
        <f>IF(ISBLANK(ElOverlogu11[[#This Row],[En]]),"",(ElOverlogu11[[#This Row],[En]])*ElOverlogu11[[#This Row],[ADET]]*2*ElOverlogu11[[#This Row],[BİRİM FİYAT]]/100)</f>
        <v/>
      </c>
      <c r="J36" s="43" t="str">
        <f>IF(ISBLANK(ElOverlogu11[[#This Row],[En]]),"",SUMIF(ElOverlogu11[Adı Soyadı],ElOverlogu11[[#This Row],[Adı Soyadı]],ElOverlogu11[TUTAR]))</f>
        <v/>
      </c>
    </row>
    <row r="37" spans="2:10" ht="15.6" thickTop="1" thickBot="1" x14ac:dyDescent="0.35">
      <c r="B37" s="15" t="str">
        <f>IF(ISBLANK(C37),"",SUBTOTAL(3, $C$3:C37))</f>
        <v/>
      </c>
      <c r="C37" s="31"/>
      <c r="D37" s="16"/>
      <c r="E37" s="17"/>
      <c r="F37" s="17"/>
      <c r="G37" s="17"/>
      <c r="H37" s="42" t="str">
        <f>IF(ISBLANK(ElOverlogu11[[#This Row],[Adı Soyadı]]),"",İşçilikler!$C$4)</f>
        <v/>
      </c>
      <c r="I37" s="42" t="str">
        <f>IF(ISBLANK(ElOverlogu11[[#This Row],[En]]),"",(ElOverlogu11[[#This Row],[En]])*ElOverlogu11[[#This Row],[ADET]]*2*ElOverlogu11[[#This Row],[BİRİM FİYAT]]/100)</f>
        <v/>
      </c>
      <c r="J37" s="43" t="str">
        <f>IF(ISBLANK(ElOverlogu11[[#This Row],[En]]),"",SUMIF(ElOverlogu11[Adı Soyadı],ElOverlogu11[[#This Row],[Adı Soyadı]],ElOverlogu11[TUTAR]))</f>
        <v/>
      </c>
    </row>
    <row r="38" spans="2:10" ht="15.6" thickTop="1" thickBot="1" x14ac:dyDescent="0.35">
      <c r="B38" s="15" t="str">
        <f>IF(ISBLANK(C38),"",SUBTOTAL(3, $C$3:C38))</f>
        <v/>
      </c>
      <c r="C38" s="31"/>
      <c r="D38" s="16"/>
      <c r="E38" s="17"/>
      <c r="F38" s="17"/>
      <c r="G38" s="17"/>
      <c r="H38" s="42" t="str">
        <f>IF(ISBLANK(ElOverlogu11[[#This Row],[Adı Soyadı]]),"",İşçilikler!$C$4)</f>
        <v/>
      </c>
      <c r="I38" s="42" t="str">
        <f>IF(ISBLANK(ElOverlogu11[[#This Row],[En]]),"",(ElOverlogu11[[#This Row],[En]])*ElOverlogu11[[#This Row],[ADET]]*2*ElOverlogu11[[#This Row],[BİRİM FİYAT]]/100)</f>
        <v/>
      </c>
      <c r="J38" s="43" t="str">
        <f>IF(ISBLANK(ElOverlogu11[[#This Row],[En]]),"",SUMIF(ElOverlogu11[Adı Soyadı],ElOverlogu11[[#This Row],[Adı Soyadı]],ElOverlogu11[TUTAR]))</f>
        <v/>
      </c>
    </row>
    <row r="39" spans="2:10" ht="15.6" thickTop="1" thickBot="1" x14ac:dyDescent="0.35">
      <c r="B39" s="15" t="str">
        <f>IF(ISBLANK(C39),"",SUBTOTAL(3, $C$3:C39))</f>
        <v/>
      </c>
      <c r="C39" s="31"/>
      <c r="D39" s="16"/>
      <c r="E39" s="17"/>
      <c r="F39" s="17"/>
      <c r="G39" s="17"/>
      <c r="H39" s="42" t="str">
        <f>IF(ISBLANK(ElOverlogu11[[#This Row],[Adı Soyadı]]),"",İşçilikler!$C$4)</f>
        <v/>
      </c>
      <c r="I39" s="42" t="str">
        <f>IF(ISBLANK(ElOverlogu11[[#This Row],[En]]),"",(ElOverlogu11[[#This Row],[En]])*ElOverlogu11[[#This Row],[ADET]]*2*ElOverlogu11[[#This Row],[BİRİM FİYAT]]/100)</f>
        <v/>
      </c>
      <c r="J39" s="43" t="str">
        <f>IF(ISBLANK(ElOverlogu11[[#This Row],[En]]),"",SUMIF(ElOverlogu11[Adı Soyadı],ElOverlogu11[[#This Row],[Adı Soyadı]],ElOverlogu11[TUTAR]))</f>
        <v/>
      </c>
    </row>
    <row r="40" spans="2:10" ht="15.6" thickTop="1" thickBot="1" x14ac:dyDescent="0.35">
      <c r="B40" s="15" t="str">
        <f>IF(ISBLANK(C40),"",SUBTOTAL(3, $C$3:C40))</f>
        <v/>
      </c>
      <c r="C40" s="31"/>
      <c r="D40" s="16"/>
      <c r="E40" s="17"/>
      <c r="F40" s="17"/>
      <c r="G40" s="17"/>
      <c r="H40" s="42" t="str">
        <f>IF(ISBLANK(ElOverlogu11[[#This Row],[Adı Soyadı]]),"",İşçilikler!$C$4)</f>
        <v/>
      </c>
      <c r="I40" s="42" t="str">
        <f>IF(ISBLANK(ElOverlogu11[[#This Row],[En]]),"",(ElOverlogu11[[#This Row],[En]])*ElOverlogu11[[#This Row],[ADET]]*2*ElOverlogu11[[#This Row],[BİRİM FİYAT]]/100)</f>
        <v/>
      </c>
      <c r="J40" s="43" t="str">
        <f>IF(ISBLANK(ElOverlogu11[[#This Row],[En]]),"",SUMIF(ElOverlogu11[Adı Soyadı],ElOverlogu11[[#This Row],[Adı Soyadı]],ElOverlogu11[TUTAR]))</f>
        <v/>
      </c>
    </row>
    <row r="41" spans="2:10" ht="15.6" thickTop="1" thickBot="1" x14ac:dyDescent="0.35">
      <c r="B41" s="15" t="str">
        <f>IF(ISBLANK(C41),"",SUBTOTAL(3, $C$3:C41))</f>
        <v/>
      </c>
      <c r="C41" s="31"/>
      <c r="D41" s="16"/>
      <c r="E41" s="17"/>
      <c r="F41" s="17"/>
      <c r="G41" s="17"/>
      <c r="H41" s="42" t="str">
        <f>IF(ISBLANK(ElOverlogu11[[#This Row],[Adı Soyadı]]),"",İşçilikler!$C$4)</f>
        <v/>
      </c>
      <c r="I41" s="42" t="str">
        <f>IF(ISBLANK(ElOverlogu11[[#This Row],[En]]),"",(ElOverlogu11[[#This Row],[En]])*ElOverlogu11[[#This Row],[ADET]]*2*ElOverlogu11[[#This Row],[BİRİM FİYAT]]/100)</f>
        <v/>
      </c>
      <c r="J41" s="43" t="str">
        <f>IF(ISBLANK(ElOverlogu11[[#This Row],[En]]),"",SUMIF(ElOverlogu11[Adı Soyadı],ElOverlogu11[[#This Row],[Adı Soyadı]],ElOverlogu11[TUTAR]))</f>
        <v/>
      </c>
    </row>
    <row r="42" spans="2:10" ht="15.6" thickTop="1" thickBot="1" x14ac:dyDescent="0.35">
      <c r="B42" s="15" t="str">
        <f>IF(ISBLANK(C42),"",SUBTOTAL(3, $C$3:C42))</f>
        <v/>
      </c>
      <c r="C42" s="31"/>
      <c r="D42" s="16"/>
      <c r="E42" s="17"/>
      <c r="F42" s="17"/>
      <c r="G42" s="17"/>
      <c r="H42" s="42" t="str">
        <f>IF(ISBLANK(ElOverlogu11[[#This Row],[Adı Soyadı]]),"",İşçilikler!$C$4)</f>
        <v/>
      </c>
      <c r="I42" s="42" t="str">
        <f>IF(ISBLANK(ElOverlogu11[[#This Row],[En]]),"",(ElOverlogu11[[#This Row],[En]])*ElOverlogu11[[#This Row],[ADET]]*2*ElOverlogu11[[#This Row],[BİRİM FİYAT]]/100)</f>
        <v/>
      </c>
      <c r="J42" s="43" t="str">
        <f>IF(ISBLANK(ElOverlogu11[[#This Row],[En]]),"",SUMIF(ElOverlogu11[Adı Soyadı],ElOverlogu11[[#This Row],[Adı Soyadı]],ElOverlogu11[TUTAR]))</f>
        <v/>
      </c>
    </row>
    <row r="43" spans="2:10" ht="15.6" thickTop="1" thickBot="1" x14ac:dyDescent="0.35">
      <c r="B43" s="15" t="str">
        <f>IF(ISBLANK(C43),"",SUBTOTAL(3, $C$3:C43))</f>
        <v/>
      </c>
      <c r="C43" s="31"/>
      <c r="D43" s="16"/>
      <c r="E43" s="17"/>
      <c r="F43" s="17"/>
      <c r="G43" s="17"/>
      <c r="H43" s="42" t="str">
        <f>IF(ISBLANK(ElOverlogu11[[#This Row],[Adı Soyadı]]),"",İşçilikler!$C$4)</f>
        <v/>
      </c>
      <c r="I43" s="42" t="str">
        <f>IF(ISBLANK(ElOverlogu11[[#This Row],[En]]),"",(ElOverlogu11[[#This Row],[En]])*ElOverlogu11[[#This Row],[ADET]]*2*ElOverlogu11[[#This Row],[BİRİM FİYAT]]/100)</f>
        <v/>
      </c>
      <c r="J43" s="43" t="str">
        <f>IF(ISBLANK(ElOverlogu11[[#This Row],[En]]),"",SUMIF(ElOverlogu11[Adı Soyadı],ElOverlogu11[[#This Row],[Adı Soyadı]],ElOverlogu11[TUTAR]))</f>
        <v/>
      </c>
    </row>
    <row r="44" spans="2:10" ht="15.6" thickTop="1" thickBot="1" x14ac:dyDescent="0.35">
      <c r="B44" s="15" t="str">
        <f>IF(ISBLANK(C44),"",SUBTOTAL(3, $C$3:C44))</f>
        <v/>
      </c>
      <c r="C44" s="31"/>
      <c r="D44" s="16"/>
      <c r="E44" s="17"/>
      <c r="F44" s="17"/>
      <c r="G44" s="17"/>
      <c r="H44" s="42" t="str">
        <f>IF(ISBLANK(ElOverlogu11[[#This Row],[Adı Soyadı]]),"",İşçilikler!$C$4)</f>
        <v/>
      </c>
      <c r="I44" s="42" t="str">
        <f>IF(ISBLANK(ElOverlogu11[[#This Row],[En]]),"",(ElOverlogu11[[#This Row],[En]])*ElOverlogu11[[#This Row],[ADET]]*2*ElOverlogu11[[#This Row],[BİRİM FİYAT]]/100)</f>
        <v/>
      </c>
      <c r="J44" s="43" t="str">
        <f>IF(ISBLANK(ElOverlogu11[[#This Row],[En]]),"",SUMIF(ElOverlogu11[Adı Soyadı],ElOverlogu11[[#This Row],[Adı Soyadı]],ElOverlogu11[TUTAR]))</f>
        <v/>
      </c>
    </row>
    <row r="45" spans="2:10" ht="15.6" thickTop="1" thickBot="1" x14ac:dyDescent="0.35">
      <c r="B45" s="15" t="str">
        <f>IF(ISBLANK(C45),"",SUBTOTAL(3, $C$3:C45))</f>
        <v/>
      </c>
      <c r="C45" s="31"/>
      <c r="D45" s="16"/>
      <c r="E45" s="17"/>
      <c r="F45" s="17"/>
      <c r="G45" s="17"/>
      <c r="H45" s="42" t="str">
        <f>IF(ISBLANK(ElOverlogu11[[#This Row],[Adı Soyadı]]),"",İşçilikler!$C$4)</f>
        <v/>
      </c>
      <c r="I45" s="42" t="str">
        <f>IF(ISBLANK(ElOverlogu11[[#This Row],[En]]),"",(ElOverlogu11[[#This Row],[En]])*ElOverlogu11[[#This Row],[ADET]]*2*ElOverlogu11[[#This Row],[BİRİM FİYAT]]/100)</f>
        <v/>
      </c>
      <c r="J45" s="43" t="str">
        <f>IF(ISBLANK(ElOverlogu11[[#This Row],[En]]),"",SUMIF(ElOverlogu11[Adı Soyadı],ElOverlogu11[[#This Row],[Adı Soyadı]],ElOverlogu11[TUTAR]))</f>
        <v/>
      </c>
    </row>
    <row r="46" spans="2:10" ht="15.6" thickTop="1" thickBot="1" x14ac:dyDescent="0.35">
      <c r="B46" s="15" t="str">
        <f>IF(ISBLANK(C46),"",SUBTOTAL(3, $C$3:C46))</f>
        <v/>
      </c>
      <c r="C46" s="31"/>
      <c r="D46" s="16"/>
      <c r="E46" s="17"/>
      <c r="F46" s="17"/>
      <c r="G46" s="17"/>
      <c r="H46" s="42" t="str">
        <f>IF(ISBLANK(ElOverlogu11[[#This Row],[Adı Soyadı]]),"",İşçilikler!$C$4)</f>
        <v/>
      </c>
      <c r="I46" s="42" t="str">
        <f>IF(ISBLANK(ElOverlogu11[[#This Row],[En]]),"",(ElOverlogu11[[#This Row],[En]])*ElOverlogu11[[#This Row],[ADET]]*2*ElOverlogu11[[#This Row],[BİRİM FİYAT]]/100)</f>
        <v/>
      </c>
      <c r="J46" s="43" t="str">
        <f>IF(ISBLANK(ElOverlogu11[[#This Row],[En]]),"",SUMIF(ElOverlogu11[Adı Soyadı],ElOverlogu11[[#This Row],[Adı Soyadı]],ElOverlogu11[TUTAR]))</f>
        <v/>
      </c>
    </row>
    <row r="47" spans="2:10" ht="15.6" thickTop="1" thickBot="1" x14ac:dyDescent="0.35">
      <c r="B47" s="15" t="str">
        <f>IF(ISBLANK(C47),"",SUBTOTAL(3, $C$3:C47))</f>
        <v/>
      </c>
      <c r="C47" s="31"/>
      <c r="D47" s="16"/>
      <c r="E47" s="17"/>
      <c r="F47" s="17"/>
      <c r="G47" s="17"/>
      <c r="H47" s="42" t="str">
        <f>IF(ISBLANK(ElOverlogu11[[#This Row],[Adı Soyadı]]),"",İşçilikler!$C$4)</f>
        <v/>
      </c>
      <c r="I47" s="42" t="str">
        <f>IF(ISBLANK(ElOverlogu11[[#This Row],[En]]),"",(ElOverlogu11[[#This Row],[En]])*ElOverlogu11[[#This Row],[ADET]]*2*ElOverlogu11[[#This Row],[BİRİM FİYAT]]/100)</f>
        <v/>
      </c>
      <c r="J47" s="43" t="str">
        <f>IF(ISBLANK(ElOverlogu11[[#This Row],[En]]),"",SUMIF(ElOverlogu11[Adı Soyadı],ElOverlogu11[[#This Row],[Adı Soyadı]],ElOverlogu11[TUTAR]))</f>
        <v/>
      </c>
    </row>
    <row r="48" spans="2:10" ht="15.6" thickTop="1" thickBot="1" x14ac:dyDescent="0.35">
      <c r="B48" s="15" t="str">
        <f>IF(ISBLANK(C48),"",SUBTOTAL(3, $C$3:C48))</f>
        <v/>
      </c>
      <c r="C48" s="31"/>
      <c r="D48" s="16"/>
      <c r="E48" s="17"/>
      <c r="F48" s="17"/>
      <c r="G48" s="17"/>
      <c r="H48" s="42" t="str">
        <f>IF(ISBLANK(ElOverlogu11[[#This Row],[Adı Soyadı]]),"",İşçilikler!$C$4)</f>
        <v/>
      </c>
      <c r="I48" s="42" t="str">
        <f>IF(ISBLANK(ElOverlogu11[[#This Row],[En]]),"",(ElOverlogu11[[#This Row],[En]])*ElOverlogu11[[#This Row],[ADET]]*2*ElOverlogu11[[#This Row],[BİRİM FİYAT]]/100)</f>
        <v/>
      </c>
      <c r="J48" s="43" t="str">
        <f>IF(ISBLANK(ElOverlogu11[[#This Row],[En]]),"",SUMIF(ElOverlogu11[Adı Soyadı],ElOverlogu11[[#This Row],[Adı Soyadı]],ElOverlogu11[TUTAR]))</f>
        <v/>
      </c>
    </row>
    <row r="49" spans="2:10" ht="15.6" thickTop="1" thickBot="1" x14ac:dyDescent="0.35">
      <c r="B49" s="15" t="str">
        <f>IF(ISBLANK(C49),"",SUBTOTAL(3, $C$3:C49))</f>
        <v/>
      </c>
      <c r="C49" s="31"/>
      <c r="D49" s="16"/>
      <c r="E49" s="17"/>
      <c r="F49" s="17"/>
      <c r="G49" s="17"/>
      <c r="H49" s="42" t="str">
        <f>IF(ISBLANK(ElOverlogu11[[#This Row],[Adı Soyadı]]),"",İşçilikler!$C$4)</f>
        <v/>
      </c>
      <c r="I49" s="42" t="str">
        <f>IF(ISBLANK(ElOverlogu11[[#This Row],[En]]),"",(ElOverlogu11[[#This Row],[En]])*ElOverlogu11[[#This Row],[ADET]]*2*ElOverlogu11[[#This Row],[BİRİM FİYAT]]/100)</f>
        <v/>
      </c>
      <c r="J49" s="43" t="str">
        <f>IF(ISBLANK(ElOverlogu11[[#This Row],[En]]),"",SUMIF(ElOverlogu11[Adı Soyadı],ElOverlogu11[[#This Row],[Adı Soyadı]],ElOverlogu11[TUTAR]))</f>
        <v/>
      </c>
    </row>
    <row r="50" spans="2:10" ht="15.6" thickTop="1" thickBot="1" x14ac:dyDescent="0.35">
      <c r="B50" s="15" t="str">
        <f>IF(ISBLANK(C50),"",SUBTOTAL(3, $C$3:C50))</f>
        <v/>
      </c>
      <c r="C50" s="31"/>
      <c r="D50" s="16"/>
      <c r="E50" s="17"/>
      <c r="F50" s="17"/>
      <c r="G50" s="17"/>
      <c r="H50" s="42" t="str">
        <f>IF(ISBLANK(ElOverlogu11[[#This Row],[Adı Soyadı]]),"",İşçilikler!$C$4)</f>
        <v/>
      </c>
      <c r="I50" s="42" t="str">
        <f>IF(ISBLANK(ElOverlogu11[[#This Row],[En]]),"",(ElOverlogu11[[#This Row],[En]])*ElOverlogu11[[#This Row],[ADET]]*2*ElOverlogu11[[#This Row],[BİRİM FİYAT]]/100)</f>
        <v/>
      </c>
      <c r="J50" s="43" t="str">
        <f>IF(ISBLANK(ElOverlogu11[[#This Row],[En]]),"",SUMIF(ElOverlogu11[Adı Soyadı],ElOverlogu11[[#This Row],[Adı Soyadı]],ElOverlogu11[TUTAR]))</f>
        <v/>
      </c>
    </row>
    <row r="51" spans="2:10" ht="15.6" thickTop="1" thickBot="1" x14ac:dyDescent="0.35">
      <c r="B51" s="15" t="str">
        <f>IF(ISBLANK(C51),"",SUBTOTAL(3, $C$3:C51))</f>
        <v/>
      </c>
      <c r="C51" s="31"/>
      <c r="D51" s="16"/>
      <c r="E51" s="17"/>
      <c r="F51" s="17"/>
      <c r="G51" s="17"/>
      <c r="H51" s="42" t="str">
        <f>IF(ISBLANK(ElOverlogu11[[#This Row],[Adı Soyadı]]),"",İşçilikler!$C$4)</f>
        <v/>
      </c>
      <c r="I51" s="42" t="str">
        <f>IF(ISBLANK(ElOverlogu11[[#This Row],[En]]),"",(ElOverlogu11[[#This Row],[En]])*ElOverlogu11[[#This Row],[ADET]]*2*ElOverlogu11[[#This Row],[BİRİM FİYAT]]/100)</f>
        <v/>
      </c>
      <c r="J51" s="43" t="str">
        <f>IF(ISBLANK(ElOverlogu11[[#This Row],[En]]),"",SUMIF(ElOverlogu11[Adı Soyadı],ElOverlogu11[[#This Row],[Adı Soyadı]],ElOverlogu11[TUTAR]))</f>
        <v/>
      </c>
    </row>
    <row r="52" spans="2:10" ht="15.6" thickTop="1" thickBot="1" x14ac:dyDescent="0.35">
      <c r="B52" s="15" t="str">
        <f>IF(ISBLANK(C52),"",SUBTOTAL(3, $C$3:C52))</f>
        <v/>
      </c>
      <c r="C52" s="31"/>
      <c r="D52" s="16"/>
      <c r="E52" s="17"/>
      <c r="F52" s="17"/>
      <c r="G52" s="17"/>
      <c r="H52" s="42" t="str">
        <f>IF(ISBLANK(ElOverlogu11[[#This Row],[Adı Soyadı]]),"",İşçilikler!$C$4)</f>
        <v/>
      </c>
      <c r="I52" s="42" t="str">
        <f>IF(ISBLANK(ElOverlogu11[[#This Row],[En]]),"",(ElOverlogu11[[#This Row],[En]])*ElOverlogu11[[#This Row],[ADET]]*2*ElOverlogu11[[#This Row],[BİRİM FİYAT]]/100)</f>
        <v/>
      </c>
      <c r="J52" s="43" t="str">
        <f>IF(ISBLANK(ElOverlogu11[[#This Row],[En]]),"",SUMIF(ElOverlogu11[Adı Soyadı],ElOverlogu11[[#This Row],[Adı Soyadı]],ElOverlogu11[TUTAR]))</f>
        <v/>
      </c>
    </row>
    <row r="53" spans="2:10" ht="15.6" thickTop="1" thickBot="1" x14ac:dyDescent="0.35">
      <c r="B53" s="15" t="str">
        <f>IF(ISBLANK(C53),"",SUBTOTAL(3, $C$3:C53))</f>
        <v/>
      </c>
      <c r="C53" s="31"/>
      <c r="D53" s="16"/>
      <c r="E53" s="17"/>
      <c r="F53" s="17"/>
      <c r="G53" s="17"/>
      <c r="H53" s="42" t="str">
        <f>IF(ISBLANK(ElOverlogu11[[#This Row],[Adı Soyadı]]),"",İşçilikler!$C$4)</f>
        <v/>
      </c>
      <c r="I53" s="42" t="str">
        <f>IF(ISBLANK(ElOverlogu11[[#This Row],[En]]),"",(ElOverlogu11[[#This Row],[En]])*ElOverlogu11[[#This Row],[ADET]]*2*ElOverlogu11[[#This Row],[BİRİM FİYAT]]/100)</f>
        <v/>
      </c>
      <c r="J53" s="43" t="str">
        <f>IF(ISBLANK(ElOverlogu11[[#This Row],[En]]),"",SUMIF(ElOverlogu11[Adı Soyadı],ElOverlogu11[[#This Row],[Adı Soyadı]],ElOverlogu11[TUTAR]))</f>
        <v/>
      </c>
    </row>
    <row r="54" spans="2:10" ht="15.6" thickTop="1" thickBot="1" x14ac:dyDescent="0.35">
      <c r="B54" s="15" t="str">
        <f>IF(ISBLANK(C54),"",SUBTOTAL(3, $C$3:C54))</f>
        <v/>
      </c>
      <c r="C54" s="31"/>
      <c r="D54" s="16"/>
      <c r="E54" s="17"/>
      <c r="F54" s="17"/>
      <c r="G54" s="17"/>
      <c r="H54" s="42" t="str">
        <f>IF(ISBLANK(ElOverlogu11[[#This Row],[Adı Soyadı]]),"",İşçilikler!$C$4)</f>
        <v/>
      </c>
      <c r="I54" s="42" t="str">
        <f>IF(ISBLANK(ElOverlogu11[[#This Row],[En]]),"",(ElOverlogu11[[#This Row],[En]])*ElOverlogu11[[#This Row],[ADET]]*2*ElOverlogu11[[#This Row],[BİRİM FİYAT]]/100)</f>
        <v/>
      </c>
      <c r="J54" s="43" t="str">
        <f>IF(ISBLANK(ElOverlogu11[[#This Row],[En]]),"",SUMIF(ElOverlogu11[Adı Soyadı],ElOverlogu11[[#This Row],[Adı Soyadı]],ElOverlogu11[TUTAR]))</f>
        <v/>
      </c>
    </row>
    <row r="55" spans="2:10" ht="15.6" thickTop="1" thickBot="1" x14ac:dyDescent="0.35">
      <c r="B55" s="15" t="str">
        <f>IF(ISBLANK(C55),"",SUBTOTAL(3, $C$3:C55))</f>
        <v/>
      </c>
      <c r="C55" s="31"/>
      <c r="D55" s="16"/>
      <c r="E55" s="17"/>
      <c r="F55" s="17"/>
      <c r="G55" s="17"/>
      <c r="H55" s="42" t="str">
        <f>IF(ISBLANK(ElOverlogu11[[#This Row],[Adı Soyadı]]),"",İşçilikler!$C$4)</f>
        <v/>
      </c>
      <c r="I55" s="42" t="str">
        <f>IF(ISBLANK(ElOverlogu11[[#This Row],[En]]),"",(ElOverlogu11[[#This Row],[En]])*ElOverlogu11[[#This Row],[ADET]]*2*ElOverlogu11[[#This Row],[BİRİM FİYAT]]/100)</f>
        <v/>
      </c>
      <c r="J55" s="43" t="str">
        <f>IF(ISBLANK(ElOverlogu11[[#This Row],[En]]),"",SUMIF(ElOverlogu11[Adı Soyadı],ElOverlogu11[[#This Row],[Adı Soyadı]],ElOverlogu11[TUTAR]))</f>
        <v/>
      </c>
    </row>
    <row r="56" spans="2:10" ht="15.6" thickTop="1" thickBot="1" x14ac:dyDescent="0.35">
      <c r="B56" s="15" t="str">
        <f>IF(ISBLANK(C56),"",SUBTOTAL(3, $C$3:C56))</f>
        <v/>
      </c>
      <c r="C56" s="31"/>
      <c r="D56" s="16"/>
      <c r="E56" s="17"/>
      <c r="F56" s="17"/>
      <c r="G56" s="17"/>
      <c r="H56" s="42" t="str">
        <f>IF(ISBLANK(ElOverlogu11[[#This Row],[Adı Soyadı]]),"",İşçilikler!$C$4)</f>
        <v/>
      </c>
      <c r="I56" s="42" t="str">
        <f>IF(ISBLANK(ElOverlogu11[[#This Row],[En]]),"",(ElOverlogu11[[#This Row],[En]])*ElOverlogu11[[#This Row],[ADET]]*2*ElOverlogu11[[#This Row],[BİRİM FİYAT]]/100)</f>
        <v/>
      </c>
      <c r="J56" s="43" t="str">
        <f>IF(ISBLANK(ElOverlogu11[[#This Row],[En]]),"",SUMIF(ElOverlogu11[Adı Soyadı],ElOverlogu11[[#This Row],[Adı Soyadı]],ElOverlogu11[TUTAR]))</f>
        <v/>
      </c>
    </row>
    <row r="57" spans="2:10" ht="15.6" thickTop="1" thickBot="1" x14ac:dyDescent="0.35">
      <c r="B57" s="15" t="str">
        <f>IF(ISBLANK(C57),"",SUBTOTAL(3, $C$3:C57))</f>
        <v/>
      </c>
      <c r="C57" s="31"/>
      <c r="D57" s="16"/>
      <c r="E57" s="17"/>
      <c r="F57" s="17"/>
      <c r="G57" s="17"/>
      <c r="H57" s="42" t="str">
        <f>IF(ISBLANK(ElOverlogu11[[#This Row],[Adı Soyadı]]),"",İşçilikler!$C$4)</f>
        <v/>
      </c>
      <c r="I57" s="42" t="str">
        <f>IF(ISBLANK(ElOverlogu11[[#This Row],[En]]),"",(ElOverlogu11[[#This Row],[En]])*ElOverlogu11[[#This Row],[ADET]]*2*ElOverlogu11[[#This Row],[BİRİM FİYAT]]/100)</f>
        <v/>
      </c>
      <c r="J57" s="43" t="str">
        <f>IF(ISBLANK(ElOverlogu11[[#This Row],[En]]),"",SUMIF(ElOverlogu11[Adı Soyadı],ElOverlogu11[[#This Row],[Adı Soyadı]],ElOverlogu11[TUTAR]))</f>
        <v/>
      </c>
    </row>
    <row r="58" spans="2:10" ht="15.6" thickTop="1" thickBot="1" x14ac:dyDescent="0.35">
      <c r="B58" s="15" t="str">
        <f>IF(ISBLANK(C58),"",SUBTOTAL(3, $C$3:C58))</f>
        <v/>
      </c>
      <c r="C58" s="31"/>
      <c r="D58" s="16"/>
      <c r="E58" s="17"/>
      <c r="F58" s="17"/>
      <c r="G58" s="17"/>
      <c r="H58" s="42" t="str">
        <f>IF(ISBLANK(ElOverlogu11[[#This Row],[Adı Soyadı]]),"",İşçilikler!$C$4)</f>
        <v/>
      </c>
      <c r="I58" s="42" t="str">
        <f>IF(ISBLANK(ElOverlogu11[[#This Row],[En]]),"",(ElOverlogu11[[#This Row],[En]])*ElOverlogu11[[#This Row],[ADET]]*2*ElOverlogu11[[#This Row],[BİRİM FİYAT]]/100)</f>
        <v/>
      </c>
      <c r="J58" s="43" t="str">
        <f>IF(ISBLANK(ElOverlogu11[[#This Row],[En]]),"",SUMIF(ElOverlogu11[Adı Soyadı],ElOverlogu11[[#This Row],[Adı Soyadı]],ElOverlogu11[TUTAR]))</f>
        <v/>
      </c>
    </row>
    <row r="59" spans="2:10" ht="15.6" thickTop="1" thickBot="1" x14ac:dyDescent="0.35">
      <c r="B59" s="15" t="str">
        <f>IF(ISBLANK(C59),"",SUBTOTAL(3, $C$3:C59))</f>
        <v/>
      </c>
      <c r="C59" s="31"/>
      <c r="D59" s="16"/>
      <c r="E59" s="17"/>
      <c r="F59" s="17"/>
      <c r="G59" s="17"/>
      <c r="H59" s="42" t="str">
        <f>IF(ISBLANK(ElOverlogu11[[#This Row],[Adı Soyadı]]),"",İşçilikler!$C$4)</f>
        <v/>
      </c>
      <c r="I59" s="42" t="str">
        <f>IF(ISBLANK(ElOverlogu11[[#This Row],[En]]),"",(ElOverlogu11[[#This Row],[En]])*ElOverlogu11[[#This Row],[ADET]]*2*ElOverlogu11[[#This Row],[BİRİM FİYAT]]/100)</f>
        <v/>
      </c>
      <c r="J59" s="43" t="str">
        <f>IF(ISBLANK(ElOverlogu11[[#This Row],[En]]),"",SUMIF(ElOverlogu11[Adı Soyadı],ElOverlogu11[[#This Row],[Adı Soyadı]],ElOverlogu11[TUTAR]))</f>
        <v/>
      </c>
    </row>
    <row r="60" spans="2:10" ht="15.6" thickTop="1" thickBot="1" x14ac:dyDescent="0.35">
      <c r="B60" s="15" t="str">
        <f>IF(ISBLANK(C60),"",SUBTOTAL(3, $C$3:C60))</f>
        <v/>
      </c>
      <c r="C60" s="31"/>
      <c r="D60" s="16"/>
      <c r="E60" s="17"/>
      <c r="F60" s="17"/>
      <c r="G60" s="17"/>
      <c r="H60" s="42" t="str">
        <f>IF(ISBLANK(ElOverlogu11[[#This Row],[Adı Soyadı]]),"",İşçilikler!$C$4)</f>
        <v/>
      </c>
      <c r="I60" s="42" t="str">
        <f>IF(ISBLANK(ElOverlogu11[[#This Row],[En]]),"",(ElOverlogu11[[#This Row],[En]])*ElOverlogu11[[#This Row],[ADET]]*2*ElOverlogu11[[#This Row],[BİRİM FİYAT]]/100)</f>
        <v/>
      </c>
      <c r="J60" s="43" t="str">
        <f>IF(ISBLANK(ElOverlogu11[[#This Row],[En]]),"",SUMIF(ElOverlogu11[Adı Soyadı],ElOverlogu11[[#This Row],[Adı Soyadı]],ElOverlogu11[TUTAR]))</f>
        <v/>
      </c>
    </row>
    <row r="61" spans="2:10" ht="15.6" thickTop="1" thickBot="1" x14ac:dyDescent="0.35">
      <c r="B61" s="15" t="str">
        <f>IF(ISBLANK(C61),"",SUBTOTAL(3, $C$3:C61))</f>
        <v/>
      </c>
      <c r="C61" s="31"/>
      <c r="D61" s="16"/>
      <c r="E61" s="17"/>
      <c r="F61" s="17"/>
      <c r="G61" s="17"/>
      <c r="H61" s="42" t="str">
        <f>IF(ISBLANK(ElOverlogu11[[#This Row],[Adı Soyadı]]),"",İşçilikler!$C$4)</f>
        <v/>
      </c>
      <c r="I61" s="42" t="str">
        <f>IF(ISBLANK(ElOverlogu11[[#This Row],[En]]),"",(ElOverlogu11[[#This Row],[En]])*ElOverlogu11[[#This Row],[ADET]]*2*ElOverlogu11[[#This Row],[BİRİM FİYAT]]/100)</f>
        <v/>
      </c>
      <c r="J61" s="43" t="str">
        <f>IF(ISBLANK(ElOverlogu11[[#This Row],[En]]),"",SUMIF(ElOverlogu11[Adı Soyadı],ElOverlogu11[[#This Row],[Adı Soyadı]],ElOverlogu11[TUTAR]))</f>
        <v/>
      </c>
    </row>
    <row r="62" spans="2:10" ht="15.6" thickTop="1" thickBot="1" x14ac:dyDescent="0.35">
      <c r="B62" s="15" t="str">
        <f>IF(ISBLANK(C62),"",SUBTOTAL(3, $C$3:C62))</f>
        <v/>
      </c>
      <c r="C62" s="31"/>
      <c r="D62" s="16"/>
      <c r="E62" s="17"/>
      <c r="F62" s="17"/>
      <c r="G62" s="17"/>
      <c r="H62" s="42" t="str">
        <f>IF(ISBLANK(ElOverlogu11[[#This Row],[Adı Soyadı]]),"",İşçilikler!$C$4)</f>
        <v/>
      </c>
      <c r="I62" s="42" t="str">
        <f>IF(ISBLANK(ElOverlogu11[[#This Row],[En]]),"",(ElOverlogu11[[#This Row],[En]])*ElOverlogu11[[#This Row],[ADET]]*2*ElOverlogu11[[#This Row],[BİRİM FİYAT]]/100)</f>
        <v/>
      </c>
      <c r="J62" s="43" t="str">
        <f>IF(ISBLANK(ElOverlogu11[[#This Row],[En]]),"",SUMIF(ElOverlogu11[Adı Soyadı],ElOverlogu11[[#This Row],[Adı Soyadı]],ElOverlogu11[TUTAR]))</f>
        <v/>
      </c>
    </row>
    <row r="63" spans="2:10" ht="15.6" thickTop="1" thickBot="1" x14ac:dyDescent="0.35">
      <c r="B63" s="15" t="str">
        <f>IF(ISBLANK(C63),"",SUBTOTAL(3, $C$3:C63))</f>
        <v/>
      </c>
      <c r="C63" s="31"/>
      <c r="D63" s="16"/>
      <c r="E63" s="17"/>
      <c r="F63" s="17"/>
      <c r="G63" s="17"/>
      <c r="H63" s="42" t="str">
        <f>IF(ISBLANK(ElOverlogu11[[#This Row],[Adı Soyadı]]),"",İşçilikler!$C$4)</f>
        <v/>
      </c>
      <c r="I63" s="42" t="str">
        <f>IF(ISBLANK(ElOverlogu11[[#This Row],[En]]),"",(ElOverlogu11[[#This Row],[En]])*ElOverlogu11[[#This Row],[ADET]]*2*ElOverlogu11[[#This Row],[BİRİM FİYAT]]/100)</f>
        <v/>
      </c>
      <c r="J63" s="43" t="str">
        <f>IF(ISBLANK(ElOverlogu11[[#This Row],[En]]),"",SUMIF(ElOverlogu11[Adı Soyadı],ElOverlogu11[[#This Row],[Adı Soyadı]],ElOverlogu11[TUTAR]))</f>
        <v/>
      </c>
    </row>
    <row r="64" spans="2:10" ht="15.6" thickTop="1" thickBot="1" x14ac:dyDescent="0.35">
      <c r="B64" s="15" t="str">
        <f>IF(ISBLANK(C64),"",SUBTOTAL(3, $C$3:C64))</f>
        <v/>
      </c>
      <c r="C64" s="31"/>
      <c r="D64" s="16"/>
      <c r="E64" s="17"/>
      <c r="F64" s="17"/>
      <c r="G64" s="17"/>
      <c r="H64" s="42" t="str">
        <f>IF(ISBLANK(ElOverlogu11[[#This Row],[Adı Soyadı]]),"",İşçilikler!$C$4)</f>
        <v/>
      </c>
      <c r="I64" s="42" t="str">
        <f>IF(ISBLANK(ElOverlogu11[[#This Row],[En]]),"",(ElOverlogu11[[#This Row],[En]])*ElOverlogu11[[#This Row],[ADET]]*2*ElOverlogu11[[#This Row],[BİRİM FİYAT]]/100)</f>
        <v/>
      </c>
      <c r="J64" s="43" t="str">
        <f>IF(ISBLANK(ElOverlogu11[[#This Row],[En]]),"",SUMIF(ElOverlogu11[Adı Soyadı],ElOverlogu11[[#This Row],[Adı Soyadı]],ElOverlogu11[TUTAR]))</f>
        <v/>
      </c>
    </row>
    <row r="65" spans="2:10" ht="15.6" thickTop="1" thickBot="1" x14ac:dyDescent="0.35">
      <c r="B65" s="15" t="str">
        <f>IF(ISBLANK(C65),"",SUBTOTAL(3, $C$3:C65))</f>
        <v/>
      </c>
      <c r="C65" s="31"/>
      <c r="D65" s="16"/>
      <c r="E65" s="17"/>
      <c r="F65" s="17"/>
      <c r="G65" s="17"/>
      <c r="H65" s="42" t="str">
        <f>IF(ISBLANK(ElOverlogu11[[#This Row],[Adı Soyadı]]),"",İşçilikler!$C$4)</f>
        <v/>
      </c>
      <c r="I65" s="42" t="str">
        <f>IF(ISBLANK(ElOverlogu11[[#This Row],[En]]),"",(ElOverlogu11[[#This Row],[En]])*ElOverlogu11[[#This Row],[ADET]]*2*ElOverlogu11[[#This Row],[BİRİM FİYAT]]/100)</f>
        <v/>
      </c>
      <c r="J65" s="43" t="str">
        <f>IF(ISBLANK(ElOverlogu11[[#This Row],[En]]),"",SUMIF(ElOverlogu11[Adı Soyadı],ElOverlogu11[[#This Row],[Adı Soyadı]],ElOverlogu11[TUTAR]))</f>
        <v/>
      </c>
    </row>
    <row r="66" spans="2:10" ht="15.6" thickTop="1" thickBot="1" x14ac:dyDescent="0.35">
      <c r="B66" s="15" t="str">
        <f>IF(ISBLANK(C66),"",SUBTOTAL(3, $C$3:C66))</f>
        <v/>
      </c>
      <c r="C66" s="31"/>
      <c r="D66" s="16"/>
      <c r="E66" s="17"/>
      <c r="F66" s="17"/>
      <c r="G66" s="17"/>
      <c r="H66" s="42" t="str">
        <f>IF(ISBLANK(ElOverlogu11[[#This Row],[Adı Soyadı]]),"",İşçilikler!$C$4)</f>
        <v/>
      </c>
      <c r="I66" s="42" t="str">
        <f>IF(ISBLANK(ElOverlogu11[[#This Row],[En]]),"",(ElOverlogu11[[#This Row],[En]])*ElOverlogu11[[#This Row],[ADET]]*2*ElOverlogu11[[#This Row],[BİRİM FİYAT]]/100)</f>
        <v/>
      </c>
      <c r="J66" s="43" t="str">
        <f>IF(ISBLANK(ElOverlogu11[[#This Row],[En]]),"",SUMIF(ElOverlogu11[Adı Soyadı],ElOverlogu11[[#This Row],[Adı Soyadı]],ElOverlogu11[TUTAR]))</f>
        <v/>
      </c>
    </row>
    <row r="67" spans="2:10" ht="15.6" thickTop="1" thickBot="1" x14ac:dyDescent="0.35">
      <c r="B67" s="15" t="str">
        <f>IF(ISBLANK(C67),"",SUBTOTAL(3, $C$3:C67))</f>
        <v/>
      </c>
      <c r="C67" s="31"/>
      <c r="D67" s="16"/>
      <c r="E67" s="17"/>
      <c r="F67" s="17"/>
      <c r="G67" s="17"/>
      <c r="H67" s="42" t="str">
        <f>IF(ISBLANK(ElOverlogu11[[#This Row],[Adı Soyadı]]),"",İşçilikler!$C$4)</f>
        <v/>
      </c>
      <c r="I67" s="42" t="str">
        <f>IF(ISBLANK(ElOverlogu11[[#This Row],[En]]),"",(ElOverlogu11[[#This Row],[En]])*ElOverlogu11[[#This Row],[ADET]]*2*ElOverlogu11[[#This Row],[BİRİM FİYAT]]/100)</f>
        <v/>
      </c>
      <c r="J67" s="43" t="str">
        <f>IF(ISBLANK(ElOverlogu11[[#This Row],[En]]),"",SUMIF(ElOverlogu11[Adı Soyadı],ElOverlogu11[[#This Row],[Adı Soyadı]],ElOverlogu11[TUTAR]))</f>
        <v/>
      </c>
    </row>
    <row r="68" spans="2:10" ht="15.6" thickTop="1" thickBot="1" x14ac:dyDescent="0.35">
      <c r="B68" s="15" t="str">
        <f>IF(ISBLANK(C68),"",SUBTOTAL(3, $C$3:C68))</f>
        <v/>
      </c>
      <c r="C68" s="31"/>
      <c r="D68" s="16"/>
      <c r="E68" s="17"/>
      <c r="F68" s="17"/>
      <c r="G68" s="17"/>
      <c r="H68" s="42" t="str">
        <f>IF(ISBLANK(ElOverlogu11[[#This Row],[Adı Soyadı]]),"",İşçilikler!$C$4)</f>
        <v/>
      </c>
      <c r="I68" s="42" t="str">
        <f>IF(ISBLANK(ElOverlogu11[[#This Row],[En]]),"",(ElOverlogu11[[#This Row],[En]])*ElOverlogu11[[#This Row],[ADET]]*2*ElOverlogu11[[#This Row],[BİRİM FİYAT]]/100)</f>
        <v/>
      </c>
      <c r="J68" s="43" t="str">
        <f>IF(ISBLANK(ElOverlogu11[[#This Row],[En]]),"",SUMIF(ElOverlogu11[Adı Soyadı],ElOverlogu11[[#This Row],[Adı Soyadı]],ElOverlogu11[TUTAR]))</f>
        <v/>
      </c>
    </row>
    <row r="69" spans="2:10" ht="15.6" thickTop="1" thickBot="1" x14ac:dyDescent="0.35">
      <c r="B69" s="15" t="str">
        <f>IF(ISBLANK(C69),"",SUBTOTAL(3, $C$3:C69))</f>
        <v/>
      </c>
      <c r="C69" s="31"/>
      <c r="D69" s="16"/>
      <c r="E69" s="17"/>
      <c r="F69" s="17"/>
      <c r="G69" s="17"/>
      <c r="H69" s="42" t="str">
        <f>IF(ISBLANK(ElOverlogu11[[#This Row],[Adı Soyadı]]),"",İşçilikler!$C$4)</f>
        <v/>
      </c>
      <c r="I69" s="42" t="str">
        <f>IF(ISBLANK(ElOverlogu11[[#This Row],[En]]),"",(ElOverlogu11[[#This Row],[En]])*ElOverlogu11[[#This Row],[ADET]]*2*ElOverlogu11[[#This Row],[BİRİM FİYAT]]/100)</f>
        <v/>
      </c>
      <c r="J69" s="43" t="str">
        <f>IF(ISBLANK(ElOverlogu11[[#This Row],[En]]),"",SUMIF(ElOverlogu11[Adı Soyadı],ElOverlogu11[[#This Row],[Adı Soyadı]],ElOverlogu11[TUTAR]))</f>
        <v/>
      </c>
    </row>
    <row r="70" spans="2:10" ht="15.6" thickTop="1" thickBot="1" x14ac:dyDescent="0.35">
      <c r="B70" s="15" t="str">
        <f>IF(ISBLANK(C70),"",SUBTOTAL(3, $C$3:C70))</f>
        <v/>
      </c>
      <c r="C70" s="31"/>
      <c r="D70" s="16"/>
      <c r="E70" s="17"/>
      <c r="F70" s="17"/>
      <c r="G70" s="17"/>
      <c r="H70" s="42" t="str">
        <f>IF(ISBLANK(ElOverlogu11[[#This Row],[Adı Soyadı]]),"",İşçilikler!$C$4)</f>
        <v/>
      </c>
      <c r="I70" s="42" t="str">
        <f>IF(ISBLANK(ElOverlogu11[[#This Row],[En]]),"",(ElOverlogu11[[#This Row],[En]])*ElOverlogu11[[#This Row],[ADET]]*2*ElOverlogu11[[#This Row],[BİRİM FİYAT]]/100)</f>
        <v/>
      </c>
      <c r="J70" s="43" t="str">
        <f>IF(ISBLANK(ElOverlogu11[[#This Row],[En]]),"",SUMIF(ElOverlogu11[Adı Soyadı],ElOverlogu11[[#This Row],[Adı Soyadı]],ElOverlogu11[TUTAR]))</f>
        <v/>
      </c>
    </row>
    <row r="71" spans="2:10" ht="15.6" thickTop="1" thickBot="1" x14ac:dyDescent="0.35">
      <c r="B71" s="15" t="str">
        <f>IF(ISBLANK(C71),"",SUBTOTAL(3, $C$3:C71))</f>
        <v/>
      </c>
      <c r="C71" s="31"/>
      <c r="D71" s="16"/>
      <c r="E71" s="17"/>
      <c r="F71" s="17"/>
      <c r="G71" s="17"/>
      <c r="H71" s="42" t="str">
        <f>IF(ISBLANK(ElOverlogu11[[#This Row],[Adı Soyadı]]),"",İşçilikler!$C$4)</f>
        <v/>
      </c>
      <c r="I71" s="42" t="str">
        <f>IF(ISBLANK(ElOverlogu11[[#This Row],[En]]),"",(ElOverlogu11[[#This Row],[En]])*ElOverlogu11[[#This Row],[ADET]]*2*ElOverlogu11[[#This Row],[BİRİM FİYAT]]/100)</f>
        <v/>
      </c>
      <c r="J71" s="43" t="str">
        <f>IF(ISBLANK(ElOverlogu11[[#This Row],[En]]),"",SUMIF(ElOverlogu11[Adı Soyadı],ElOverlogu11[[#This Row],[Adı Soyadı]],ElOverlogu11[TUTAR]))</f>
        <v/>
      </c>
    </row>
    <row r="72" spans="2:10" ht="15.6" thickTop="1" thickBot="1" x14ac:dyDescent="0.35">
      <c r="B72" s="15" t="str">
        <f>IF(ISBLANK(C72),"",SUBTOTAL(3, $C$3:C72))</f>
        <v/>
      </c>
      <c r="C72" s="31"/>
      <c r="D72" s="16"/>
      <c r="E72" s="17"/>
      <c r="F72" s="17"/>
      <c r="G72" s="17"/>
      <c r="H72" s="42" t="str">
        <f>IF(ISBLANK(ElOverlogu11[[#This Row],[Adı Soyadı]]),"",İşçilikler!$C$4)</f>
        <v/>
      </c>
      <c r="I72" s="42" t="str">
        <f>IF(ISBLANK(ElOverlogu11[[#This Row],[En]]),"",(ElOverlogu11[[#This Row],[En]])*ElOverlogu11[[#This Row],[ADET]]*2*ElOverlogu11[[#This Row],[BİRİM FİYAT]]/100)</f>
        <v/>
      </c>
      <c r="J72" s="43" t="str">
        <f>IF(ISBLANK(ElOverlogu11[[#This Row],[En]]),"",SUMIF(ElOverlogu11[Adı Soyadı],ElOverlogu11[[#This Row],[Adı Soyadı]],ElOverlogu11[TUTAR]))</f>
        <v/>
      </c>
    </row>
    <row r="73" spans="2:10" ht="15.6" thickTop="1" thickBot="1" x14ac:dyDescent="0.35">
      <c r="B73" s="15" t="str">
        <f>IF(ISBLANK(C73),"",SUBTOTAL(3, $C$3:C73))</f>
        <v/>
      </c>
      <c r="C73" s="31"/>
      <c r="D73" s="16"/>
      <c r="E73" s="17"/>
      <c r="F73" s="17"/>
      <c r="G73" s="17"/>
      <c r="H73" s="42" t="str">
        <f>IF(ISBLANK(ElOverlogu11[[#This Row],[Adı Soyadı]]),"",İşçilikler!$C$4)</f>
        <v/>
      </c>
      <c r="I73" s="42" t="str">
        <f>IF(ISBLANK(ElOverlogu11[[#This Row],[En]]),"",(ElOverlogu11[[#This Row],[En]])*ElOverlogu11[[#This Row],[ADET]]*2*ElOverlogu11[[#This Row],[BİRİM FİYAT]]/100)</f>
        <v/>
      </c>
      <c r="J73" s="43" t="str">
        <f>IF(ISBLANK(ElOverlogu11[[#This Row],[En]]),"",SUMIF(ElOverlogu11[Adı Soyadı],ElOverlogu11[[#This Row],[Adı Soyadı]],ElOverlogu11[TUTAR]))</f>
        <v/>
      </c>
    </row>
    <row r="74" spans="2:10" ht="15.6" thickTop="1" thickBot="1" x14ac:dyDescent="0.35">
      <c r="B74" s="15" t="str">
        <f>IF(ISBLANK(C74),"",SUBTOTAL(3, $C$3:C74))</f>
        <v/>
      </c>
      <c r="C74" s="31"/>
      <c r="D74" s="16"/>
      <c r="E74" s="17"/>
      <c r="F74" s="17"/>
      <c r="G74" s="17"/>
      <c r="H74" s="42" t="str">
        <f>IF(ISBLANK(ElOverlogu11[[#This Row],[Adı Soyadı]]),"",İşçilikler!$C$4)</f>
        <v/>
      </c>
      <c r="I74" s="42" t="str">
        <f>IF(ISBLANK(ElOverlogu11[[#This Row],[En]]),"",(ElOverlogu11[[#This Row],[En]])*ElOverlogu11[[#This Row],[ADET]]*2*ElOverlogu11[[#This Row],[BİRİM FİYAT]]/100)</f>
        <v/>
      </c>
      <c r="J74" s="43" t="str">
        <f>IF(ISBLANK(ElOverlogu11[[#This Row],[En]]),"",SUMIF(ElOverlogu11[Adı Soyadı],ElOverlogu11[[#This Row],[Adı Soyadı]],ElOverlogu11[TUTAR]))</f>
        <v/>
      </c>
    </row>
    <row r="75" spans="2:10" ht="15.6" thickTop="1" thickBot="1" x14ac:dyDescent="0.35">
      <c r="B75" s="15" t="str">
        <f>IF(ISBLANK(C75),"",SUBTOTAL(3, $C$3:C75))</f>
        <v/>
      </c>
      <c r="C75" s="31"/>
      <c r="D75" s="16"/>
      <c r="E75" s="17"/>
      <c r="F75" s="17"/>
      <c r="G75" s="17"/>
      <c r="H75" s="42" t="str">
        <f>IF(ISBLANK(ElOverlogu11[[#This Row],[Adı Soyadı]]),"",İşçilikler!$C$4)</f>
        <v/>
      </c>
      <c r="I75" s="42" t="str">
        <f>IF(ISBLANK(ElOverlogu11[[#This Row],[En]]),"",(ElOverlogu11[[#This Row],[En]])*ElOverlogu11[[#This Row],[ADET]]*2*ElOverlogu11[[#This Row],[BİRİM FİYAT]]/100)</f>
        <v/>
      </c>
      <c r="J75" s="43" t="str">
        <f>IF(ISBLANK(ElOverlogu11[[#This Row],[En]]),"",SUMIF(ElOverlogu11[Adı Soyadı],ElOverlogu11[[#This Row],[Adı Soyadı]],ElOverlogu11[TUTAR]))</f>
        <v/>
      </c>
    </row>
    <row r="76" spans="2:10" ht="15.6" thickTop="1" thickBot="1" x14ac:dyDescent="0.35">
      <c r="B76" s="15" t="str">
        <f>IF(ISBLANK(C76),"",SUBTOTAL(3, $C$3:C76))</f>
        <v/>
      </c>
      <c r="C76" s="31"/>
      <c r="D76" s="16"/>
      <c r="E76" s="17"/>
      <c r="F76" s="17"/>
      <c r="G76" s="17"/>
      <c r="H76" s="42" t="str">
        <f>IF(ISBLANK(ElOverlogu11[[#This Row],[Adı Soyadı]]),"",İşçilikler!$C$4)</f>
        <v/>
      </c>
      <c r="I76" s="42" t="str">
        <f>IF(ISBLANK(ElOverlogu11[[#This Row],[En]]),"",(ElOverlogu11[[#This Row],[En]])*ElOverlogu11[[#This Row],[ADET]]*2*ElOverlogu11[[#This Row],[BİRİM FİYAT]]/100)</f>
        <v/>
      </c>
      <c r="J76" s="43" t="str">
        <f>IF(ISBLANK(ElOverlogu11[[#This Row],[En]]),"",SUMIF(ElOverlogu11[Adı Soyadı],ElOverlogu11[[#This Row],[Adı Soyadı]],ElOverlogu11[TUTAR]))</f>
        <v/>
      </c>
    </row>
    <row r="77" spans="2:10" ht="15.6" thickTop="1" thickBot="1" x14ac:dyDescent="0.35">
      <c r="B77" s="10" t="str">
        <f>IF(ISBLANK(C77),"",SUBTOTAL(3, $C$3:C77))</f>
        <v/>
      </c>
      <c r="C77" s="32"/>
      <c r="D77" s="11"/>
      <c r="E77" s="12"/>
      <c r="F77" s="12"/>
      <c r="G77" s="12"/>
      <c r="H77" s="42" t="str">
        <f>IF(ISBLANK(ElOverlogu11[[#This Row],[Adı Soyadı]]),"",İşçilikler!$C$4)</f>
        <v/>
      </c>
      <c r="I77" s="45" t="str">
        <f>IF(ISBLANK(ElOverlogu11[[#This Row],[En]]),"",(ElOverlogu11[[#This Row],[En]])*ElOverlogu11[[#This Row],[ADET]]*2*ElOverlogu11[[#This Row],[BİRİM FİYAT]]/100)</f>
        <v/>
      </c>
      <c r="J77" s="13" t="str">
        <f>IF(ISBLANK(ElOverlogu11[[#This Row],[En]]),"",SUMIF(ElOverlogu11[Adı Soyadı],ElOverlogu11[[#This Row],[Adı Soyadı]],ElOverlogu11[TUTAR]))</f>
        <v/>
      </c>
    </row>
    <row r="78" spans="2:10" ht="15.6" thickTop="1" thickBot="1" x14ac:dyDescent="0.35">
      <c r="B78" s="1" t="str">
        <f>IF(ISBLANK(C78),"",SUBTOTAL(3, $C$3:C78))</f>
        <v/>
      </c>
      <c r="C78" s="33"/>
      <c r="D78" s="5"/>
      <c r="E78" s="6"/>
      <c r="F78" s="6"/>
      <c r="G78" s="6"/>
      <c r="H78" s="42" t="str">
        <f>IF(ISBLANK(ElOverlogu11[[#This Row],[Adı Soyadı]]),"",İşçilikler!$C$4)</f>
        <v/>
      </c>
      <c r="I78" s="46" t="str">
        <f>IF(ISBLANK(ElOverlogu11[[#This Row],[En]]),"",(ElOverlogu11[[#This Row],[En]])*ElOverlogu11[[#This Row],[ADET]]*2*ElOverlogu11[[#This Row],[BİRİM FİYAT]]/100)</f>
        <v/>
      </c>
      <c r="J78" s="2" t="str">
        <f>IF(ISBLANK(ElOverlogu11[[#This Row],[En]]),"",SUMIF(ElOverlogu11[Adı Soyadı],ElOverlogu11[[#This Row],[Adı Soyadı]],ElOverlogu11[TUTAR]))</f>
        <v/>
      </c>
    </row>
    <row r="79" spans="2:10" ht="15.6" thickTop="1" thickBot="1" x14ac:dyDescent="0.35">
      <c r="B79" s="1" t="str">
        <f>IF(ISBLANK(C79),"",SUBTOTAL(3, $C$3:C79))</f>
        <v/>
      </c>
      <c r="C79" s="33"/>
      <c r="D79" s="5"/>
      <c r="E79" s="6"/>
      <c r="F79" s="6"/>
      <c r="G79" s="6"/>
      <c r="H79" s="42" t="str">
        <f>IF(ISBLANK(ElOverlogu11[[#This Row],[Adı Soyadı]]),"",İşçilikler!$C$4)</f>
        <v/>
      </c>
      <c r="I79" s="46" t="str">
        <f>IF(ISBLANK(ElOverlogu11[[#This Row],[En]]),"",(ElOverlogu11[[#This Row],[En]])*ElOverlogu11[[#This Row],[ADET]]*2*ElOverlogu11[[#This Row],[BİRİM FİYAT]]/100)</f>
        <v/>
      </c>
      <c r="J79" s="2" t="str">
        <f>IF(ISBLANK(ElOverlogu11[[#This Row],[En]]),"",SUMIF(ElOverlogu11[Adı Soyadı],ElOverlogu11[[#This Row],[Adı Soyadı]],ElOverlogu11[TUTAR]))</f>
        <v/>
      </c>
    </row>
    <row r="80" spans="2:10" ht="15.6" thickTop="1" thickBot="1" x14ac:dyDescent="0.35">
      <c r="B80" s="1" t="str">
        <f>IF(ISBLANK(C80),"",SUBTOTAL(3, $C$3:C80))</f>
        <v/>
      </c>
      <c r="C80" s="33"/>
      <c r="D80" s="5"/>
      <c r="E80" s="6"/>
      <c r="F80" s="6"/>
      <c r="G80" s="6"/>
      <c r="H80" s="42" t="str">
        <f>IF(ISBLANK(ElOverlogu11[[#This Row],[Adı Soyadı]]),"",İşçilikler!$C$4)</f>
        <v/>
      </c>
      <c r="I80" s="46" t="str">
        <f>IF(ISBLANK(ElOverlogu11[[#This Row],[En]]),"",(ElOverlogu11[[#This Row],[En]])*ElOverlogu11[[#This Row],[ADET]]*2*ElOverlogu11[[#This Row],[BİRİM FİYAT]]/100)</f>
        <v/>
      </c>
      <c r="J80" s="2" t="str">
        <f>IF(ISBLANK(ElOverlogu11[[#This Row],[En]]),"",SUMIF(ElOverlogu11[Adı Soyadı],ElOverlogu11[[#This Row],[Adı Soyadı]],ElOverlogu11[TUTAR]))</f>
        <v/>
      </c>
    </row>
    <row r="81" spans="2:10" ht="15.6" thickTop="1" thickBot="1" x14ac:dyDescent="0.35">
      <c r="B81" s="1" t="str">
        <f>IF(ISBLANK(C81),"",SUBTOTAL(3, $C$3:C81))</f>
        <v/>
      </c>
      <c r="C81" s="33"/>
      <c r="D81" s="5"/>
      <c r="E81" s="6"/>
      <c r="F81" s="6"/>
      <c r="G81" s="6"/>
      <c r="H81" s="42" t="str">
        <f>IF(ISBLANK(ElOverlogu11[[#This Row],[Adı Soyadı]]),"",İşçilikler!$C$4)</f>
        <v/>
      </c>
      <c r="I81" s="46" t="str">
        <f>IF(ISBLANK(ElOverlogu11[[#This Row],[En]]),"",(ElOverlogu11[[#This Row],[En]])*ElOverlogu11[[#This Row],[ADET]]*2*ElOverlogu11[[#This Row],[BİRİM FİYAT]]/100)</f>
        <v/>
      </c>
      <c r="J81" s="2" t="str">
        <f>IF(ISBLANK(ElOverlogu11[[#This Row],[En]]),"",SUMIF(ElOverlogu11[Adı Soyadı],ElOverlogu11[[#This Row],[Adı Soyadı]],ElOverlogu11[TUTAR]))</f>
        <v/>
      </c>
    </row>
    <row r="82" spans="2:10" ht="15.6" thickTop="1" thickBot="1" x14ac:dyDescent="0.35">
      <c r="B82" s="1" t="str">
        <f>IF(ISBLANK(C82),"",SUBTOTAL(3, $C$3:C82))</f>
        <v/>
      </c>
      <c r="C82" s="33"/>
      <c r="D82" s="5"/>
      <c r="E82" s="6"/>
      <c r="F82" s="6"/>
      <c r="G82" s="6"/>
      <c r="H82" s="42" t="str">
        <f>IF(ISBLANK(ElOverlogu11[[#This Row],[Adı Soyadı]]),"",İşçilikler!$C$4)</f>
        <v/>
      </c>
      <c r="I82" s="46" t="str">
        <f>IF(ISBLANK(ElOverlogu11[[#This Row],[En]]),"",(ElOverlogu11[[#This Row],[En]])*ElOverlogu11[[#This Row],[ADET]]*2*ElOverlogu11[[#This Row],[BİRİM FİYAT]]/100)</f>
        <v/>
      </c>
      <c r="J82" s="2" t="str">
        <f>IF(ISBLANK(ElOverlogu11[[#This Row],[En]]),"",SUMIF(ElOverlogu11[Adı Soyadı],ElOverlogu11[[#This Row],[Adı Soyadı]],ElOverlogu11[TUTAR]))</f>
        <v/>
      </c>
    </row>
    <row r="83" spans="2:10" ht="15.6" thickTop="1" thickBot="1" x14ac:dyDescent="0.35">
      <c r="B83" s="1" t="str">
        <f>IF(ISBLANK(C83),"",SUBTOTAL(3, $C$3:C83))</f>
        <v/>
      </c>
      <c r="C83" s="33"/>
      <c r="D83" s="5"/>
      <c r="E83" s="6"/>
      <c r="F83" s="6"/>
      <c r="G83" s="6"/>
      <c r="H83" s="42" t="str">
        <f>IF(ISBLANK(ElOverlogu11[[#This Row],[Adı Soyadı]]),"",İşçilikler!$C$4)</f>
        <v/>
      </c>
      <c r="I83" s="46" t="str">
        <f>IF(ISBLANK(ElOverlogu11[[#This Row],[En]]),"",(ElOverlogu11[[#This Row],[En]])*ElOverlogu11[[#This Row],[ADET]]*2*ElOverlogu11[[#This Row],[BİRİM FİYAT]]/100)</f>
        <v/>
      </c>
      <c r="J83" s="2" t="str">
        <f>IF(ISBLANK(ElOverlogu11[[#This Row],[En]]),"",SUMIF(ElOverlogu11[Adı Soyadı],ElOverlogu11[[#This Row],[Adı Soyadı]],ElOverlogu11[TUTAR]))</f>
        <v/>
      </c>
    </row>
    <row r="84" spans="2:10" ht="15.6" thickTop="1" thickBot="1" x14ac:dyDescent="0.35">
      <c r="B84" s="1" t="str">
        <f>IF(ISBLANK(C84),"",SUBTOTAL(3, $C$3:C84))</f>
        <v/>
      </c>
      <c r="C84" s="33"/>
      <c r="D84" s="5"/>
      <c r="E84" s="6"/>
      <c r="F84" s="6"/>
      <c r="G84" s="6"/>
      <c r="H84" s="42" t="str">
        <f>IF(ISBLANK(ElOverlogu11[[#This Row],[Adı Soyadı]]),"",İşçilikler!$C$4)</f>
        <v/>
      </c>
      <c r="I84" s="46" t="str">
        <f>IF(ISBLANK(ElOverlogu11[[#This Row],[En]]),"",(ElOverlogu11[[#This Row],[En]])*ElOverlogu11[[#This Row],[ADET]]*2*ElOverlogu11[[#This Row],[BİRİM FİYAT]]/100)</f>
        <v/>
      </c>
      <c r="J84" s="2" t="str">
        <f>IF(ISBLANK(ElOverlogu11[[#This Row],[En]]),"",SUMIF(ElOverlogu11[Adı Soyadı],ElOverlogu11[[#This Row],[Adı Soyadı]],ElOverlogu11[TUTAR]))</f>
        <v/>
      </c>
    </row>
    <row r="85" spans="2:10" ht="15.6" thickTop="1" thickBot="1" x14ac:dyDescent="0.35">
      <c r="B85" s="1" t="str">
        <f>IF(ISBLANK(C85),"",SUBTOTAL(3, $C$3:C85))</f>
        <v/>
      </c>
      <c r="C85" s="33"/>
      <c r="D85" s="5"/>
      <c r="E85" s="6"/>
      <c r="F85" s="6"/>
      <c r="G85" s="6"/>
      <c r="H85" s="42" t="str">
        <f>IF(ISBLANK(ElOverlogu11[[#This Row],[Adı Soyadı]]),"",İşçilikler!$C$4)</f>
        <v/>
      </c>
      <c r="I85" s="46" t="str">
        <f>IF(ISBLANK(ElOverlogu11[[#This Row],[En]]),"",(ElOverlogu11[[#This Row],[En]])*ElOverlogu11[[#This Row],[ADET]]*2*ElOverlogu11[[#This Row],[BİRİM FİYAT]]/100)</f>
        <v/>
      </c>
      <c r="J85" s="2" t="str">
        <f>IF(ISBLANK(ElOverlogu11[[#This Row],[En]]),"",SUMIF(ElOverlogu11[Adı Soyadı],ElOverlogu11[[#This Row],[Adı Soyadı]],ElOverlogu11[TUTAR]))</f>
        <v/>
      </c>
    </row>
    <row r="86" spans="2:10" ht="15.6" thickTop="1" thickBot="1" x14ac:dyDescent="0.35">
      <c r="B86" s="1" t="str">
        <f>IF(ISBLANK(C86),"",SUBTOTAL(3, $C$3:C86))</f>
        <v/>
      </c>
      <c r="C86" s="33"/>
      <c r="D86" s="5"/>
      <c r="E86" s="6"/>
      <c r="F86" s="6"/>
      <c r="G86" s="6"/>
      <c r="H86" s="42" t="str">
        <f>IF(ISBLANK(ElOverlogu11[[#This Row],[Adı Soyadı]]),"",İşçilikler!$C$4)</f>
        <v/>
      </c>
      <c r="I86" s="46" t="str">
        <f>IF(ISBLANK(ElOverlogu11[[#This Row],[En]]),"",(ElOverlogu11[[#This Row],[En]])*ElOverlogu11[[#This Row],[ADET]]*2*ElOverlogu11[[#This Row],[BİRİM FİYAT]]/100)</f>
        <v/>
      </c>
      <c r="J86" s="2" t="str">
        <f>IF(ISBLANK(ElOverlogu11[[#This Row],[En]]),"",SUMIF(ElOverlogu11[Adı Soyadı],ElOverlogu11[[#This Row],[Adı Soyadı]],ElOverlogu11[TUTAR]))</f>
        <v/>
      </c>
    </row>
    <row r="87" spans="2:10" ht="15.6" thickTop="1" thickBot="1" x14ac:dyDescent="0.35">
      <c r="B87" s="1" t="str">
        <f>IF(ISBLANK(C87),"",SUBTOTAL(3, $C$3:C87))</f>
        <v/>
      </c>
      <c r="C87" s="33"/>
      <c r="D87" s="5"/>
      <c r="E87" s="6"/>
      <c r="F87" s="6"/>
      <c r="G87" s="6"/>
      <c r="H87" s="42" t="str">
        <f>IF(ISBLANK(ElOverlogu11[[#This Row],[Adı Soyadı]]),"",İşçilikler!$C$4)</f>
        <v/>
      </c>
      <c r="I87" s="46" t="str">
        <f>IF(ISBLANK(ElOverlogu11[[#This Row],[En]]),"",(ElOverlogu11[[#This Row],[En]])*ElOverlogu11[[#This Row],[ADET]]*2*ElOverlogu11[[#This Row],[BİRİM FİYAT]]/100)</f>
        <v/>
      </c>
      <c r="J87" s="2" t="str">
        <f>IF(ISBLANK(ElOverlogu11[[#This Row],[En]]),"",SUMIF(ElOverlogu11[Adı Soyadı],ElOverlogu11[[#This Row],[Adı Soyadı]],ElOverlogu11[TUTAR]))</f>
        <v/>
      </c>
    </row>
    <row r="88" spans="2:10" ht="15.6" thickTop="1" thickBot="1" x14ac:dyDescent="0.35">
      <c r="B88" s="1" t="str">
        <f>IF(ISBLANK(C88),"",SUBTOTAL(3, $C$3:C88))</f>
        <v/>
      </c>
      <c r="C88" s="33"/>
      <c r="D88" s="5"/>
      <c r="E88" s="6"/>
      <c r="F88" s="6"/>
      <c r="G88" s="6"/>
      <c r="H88" s="42" t="str">
        <f>IF(ISBLANK(ElOverlogu11[[#This Row],[Adı Soyadı]]),"",İşçilikler!$C$4)</f>
        <v/>
      </c>
      <c r="I88" s="46" t="str">
        <f>IF(ISBLANK(ElOverlogu11[[#This Row],[En]]),"",(ElOverlogu11[[#This Row],[En]])*ElOverlogu11[[#This Row],[ADET]]*2*ElOverlogu11[[#This Row],[BİRİM FİYAT]]/100)</f>
        <v/>
      </c>
      <c r="J88" s="2" t="str">
        <f>IF(ISBLANK(ElOverlogu11[[#This Row],[En]]),"",SUMIF(ElOverlogu11[Adı Soyadı],ElOverlogu11[[#This Row],[Adı Soyadı]],ElOverlogu11[TUTAR]))</f>
        <v/>
      </c>
    </row>
    <row r="89" spans="2:10" ht="15.6" thickTop="1" thickBot="1" x14ac:dyDescent="0.35">
      <c r="B89" s="1" t="str">
        <f>IF(ISBLANK(C89),"",SUBTOTAL(3, $C$3:C89))</f>
        <v/>
      </c>
      <c r="C89" s="33"/>
      <c r="D89" s="5"/>
      <c r="E89" s="6"/>
      <c r="F89" s="6"/>
      <c r="G89" s="6"/>
      <c r="H89" s="42" t="str">
        <f>IF(ISBLANK(ElOverlogu11[[#This Row],[Adı Soyadı]]),"",İşçilikler!$C$4)</f>
        <v/>
      </c>
      <c r="I89" s="46" t="str">
        <f>IF(ISBLANK(ElOverlogu11[[#This Row],[En]]),"",(ElOverlogu11[[#This Row],[En]])*ElOverlogu11[[#This Row],[ADET]]*2*ElOverlogu11[[#This Row],[BİRİM FİYAT]]/100)</f>
        <v/>
      </c>
      <c r="J89" s="2" t="str">
        <f>IF(ISBLANK(ElOverlogu11[[#This Row],[En]]),"",SUMIF(ElOverlogu11[Adı Soyadı],ElOverlogu11[[#This Row],[Adı Soyadı]],ElOverlogu11[TUTAR]))</f>
        <v/>
      </c>
    </row>
    <row r="90" spans="2:10" ht="15.6" thickTop="1" thickBot="1" x14ac:dyDescent="0.35">
      <c r="B90" s="1" t="str">
        <f>IF(ISBLANK(C90),"",SUBTOTAL(3, $C$3:C90))</f>
        <v/>
      </c>
      <c r="C90" s="33"/>
      <c r="D90" s="5"/>
      <c r="E90" s="8"/>
      <c r="F90" s="8"/>
      <c r="G90" s="8"/>
      <c r="H90" s="42" t="str">
        <f>IF(ISBLANK(ElOverlogu11[[#This Row],[Adı Soyadı]]),"",İşçilikler!$C$4)</f>
        <v/>
      </c>
      <c r="I90" s="46" t="str">
        <f>IF(ISBLANK(ElOverlogu11[[#This Row],[En]]),"",(ElOverlogu11[[#This Row],[En]])*ElOverlogu11[[#This Row],[ADET]]*2*ElOverlogu11[[#This Row],[BİRİM FİYAT]]/100)</f>
        <v/>
      </c>
      <c r="J90" s="9" t="str">
        <f>IF(ISBLANK(ElOverlogu11[[#This Row],[En]]),"",SUMIF(ElOverlogu11[Adı Soyadı],ElOverlogu11[[#This Row],[Adı Soyadı]],ElOverlogu11[TUTAR]))</f>
        <v/>
      </c>
    </row>
    <row r="91" spans="2:10" ht="15.6" thickTop="1" thickBot="1" x14ac:dyDescent="0.35">
      <c r="B91" s="1" t="str">
        <f>IF(ISBLANK(C91),"",SUBTOTAL(3, $C$3:C91))</f>
        <v/>
      </c>
      <c r="C91" s="34"/>
      <c r="D91" s="7"/>
      <c r="E91" s="8"/>
      <c r="F91" s="8"/>
      <c r="G91" s="8"/>
      <c r="H91" s="42" t="str">
        <f>IF(ISBLANK(ElOverlogu11[[#This Row],[Adı Soyadı]]),"",İşçilikler!$C$4)</f>
        <v/>
      </c>
      <c r="I91" s="46" t="str">
        <f>IF(ISBLANK(ElOverlogu11[[#This Row],[En]]),"",(ElOverlogu11[[#This Row],[En]])*ElOverlogu11[[#This Row],[ADET]]*2*ElOverlogu11[[#This Row],[BİRİM FİYAT]]/100)</f>
        <v/>
      </c>
      <c r="J91" s="9" t="str">
        <f>IF(ISBLANK(ElOverlogu11[[#This Row],[En]]),"",SUMIF(ElOverlogu11[Adı Soyadı],ElOverlogu11[[#This Row],[Adı Soyadı]],ElOverlogu11[TUTAR]))</f>
        <v/>
      </c>
    </row>
    <row r="92" spans="2:10" ht="15.6" thickTop="1" thickBot="1" x14ac:dyDescent="0.35">
      <c r="B92" s="1" t="str">
        <f>IF(ISBLANK(C92),"",SUBTOTAL(3, $C$3:C92))</f>
        <v/>
      </c>
      <c r="C92" s="34"/>
      <c r="D92" s="7"/>
      <c r="E92" s="8"/>
      <c r="F92" s="8"/>
      <c r="G92" s="8"/>
      <c r="H92" s="42" t="str">
        <f>IF(ISBLANK(ElOverlogu11[[#This Row],[Adı Soyadı]]),"",İşçilikler!$C$4)</f>
        <v/>
      </c>
      <c r="I92" s="46" t="str">
        <f>IF(ISBLANK(ElOverlogu11[[#This Row],[En]]),"",(ElOverlogu11[[#This Row],[En]])*ElOverlogu11[[#This Row],[ADET]]*2*ElOverlogu11[[#This Row],[BİRİM FİYAT]]/100)</f>
        <v/>
      </c>
      <c r="J92" s="9" t="str">
        <f>IF(ISBLANK(ElOverlogu11[[#This Row],[En]]),"",SUMIF(ElOverlogu11[Adı Soyadı],ElOverlogu11[[#This Row],[Adı Soyadı]],ElOverlogu11[TUTAR]))</f>
        <v/>
      </c>
    </row>
    <row r="93" spans="2:10" ht="15.6" thickTop="1" thickBot="1" x14ac:dyDescent="0.35">
      <c r="B93" s="1" t="str">
        <f>IF(ISBLANK(C93),"",SUBTOTAL(3, $C$3:C93))</f>
        <v/>
      </c>
      <c r="C93" s="34"/>
      <c r="D93" s="7"/>
      <c r="E93" s="8"/>
      <c r="F93" s="8"/>
      <c r="G93" s="8"/>
      <c r="H93" s="42" t="str">
        <f>IF(ISBLANK(ElOverlogu11[[#This Row],[Adı Soyadı]]),"",İşçilikler!$C$4)</f>
        <v/>
      </c>
      <c r="I93" s="46" t="str">
        <f>IF(ISBLANK(ElOverlogu11[[#This Row],[En]]),"",(ElOverlogu11[[#This Row],[En]])*ElOverlogu11[[#This Row],[ADET]]*2*ElOverlogu11[[#This Row],[BİRİM FİYAT]]/100)</f>
        <v/>
      </c>
      <c r="J93" s="9" t="str">
        <f>IF(ISBLANK(ElOverlogu11[[#This Row],[En]]),"",SUMIF(ElOverlogu11[Adı Soyadı],ElOverlogu11[[#This Row],[Adı Soyadı]],ElOverlogu11[TUTAR]))</f>
        <v/>
      </c>
    </row>
    <row r="94" spans="2:10" ht="15.6" thickTop="1" thickBot="1" x14ac:dyDescent="0.35">
      <c r="B94" s="1" t="str">
        <f>IF(ISBLANK(C94),"",SUBTOTAL(3, $C$3:C94))</f>
        <v/>
      </c>
      <c r="C94" s="34"/>
      <c r="D94" s="7"/>
      <c r="E94" s="8"/>
      <c r="F94" s="8"/>
      <c r="G94" s="8"/>
      <c r="H94" s="42" t="str">
        <f>IF(ISBLANK(ElOverlogu11[[#This Row],[Adı Soyadı]]),"",İşçilikler!$C$4)</f>
        <v/>
      </c>
      <c r="I94" s="46" t="str">
        <f>IF(ISBLANK(ElOverlogu11[[#This Row],[En]]),"",(ElOverlogu11[[#This Row],[En]])*ElOverlogu11[[#This Row],[ADET]]*2*ElOverlogu11[[#This Row],[BİRİM FİYAT]]/100)</f>
        <v/>
      </c>
      <c r="J94" s="9" t="str">
        <f>IF(ISBLANK(ElOverlogu11[[#This Row],[En]]),"",SUMIF(ElOverlogu11[Adı Soyadı],ElOverlogu11[[#This Row],[Adı Soyadı]],ElOverlogu11[TUTAR]))</f>
        <v/>
      </c>
    </row>
    <row r="95" spans="2:10" ht="15.6" thickTop="1" thickBot="1" x14ac:dyDescent="0.35">
      <c r="B95" s="1" t="str">
        <f>IF(ISBLANK(C95),"",SUBTOTAL(3, $C$3:C95))</f>
        <v/>
      </c>
      <c r="C95" s="34"/>
      <c r="D95" s="7"/>
      <c r="E95" s="8"/>
      <c r="F95" s="8"/>
      <c r="G95" s="8"/>
      <c r="H95" s="42" t="str">
        <f>IF(ISBLANK(ElOverlogu11[[#This Row],[Adı Soyadı]]),"",İşçilikler!$C$4)</f>
        <v/>
      </c>
      <c r="I95" s="46" t="str">
        <f>IF(ISBLANK(ElOverlogu11[[#This Row],[En]]),"",(ElOverlogu11[[#This Row],[En]])*ElOverlogu11[[#This Row],[ADET]]*2*ElOverlogu11[[#This Row],[BİRİM FİYAT]]/100)</f>
        <v/>
      </c>
      <c r="J95" s="9" t="str">
        <f>IF(ISBLANK(ElOverlogu11[[#This Row],[En]]),"",SUMIF(ElOverlogu11[Adı Soyadı],ElOverlogu11[[#This Row],[Adı Soyadı]],ElOverlogu11[TUTAR]))</f>
        <v/>
      </c>
    </row>
    <row r="96" spans="2:10" ht="15.6" thickTop="1" thickBot="1" x14ac:dyDescent="0.35">
      <c r="B96" s="1" t="str">
        <f>IF(ISBLANK(C96),"",SUBTOTAL(3, $C$3:C96))</f>
        <v/>
      </c>
      <c r="C96" s="34"/>
      <c r="D96" s="7"/>
      <c r="E96" s="8"/>
      <c r="F96" s="8"/>
      <c r="G96" s="8"/>
      <c r="H96" s="42" t="str">
        <f>IF(ISBLANK(ElOverlogu11[[#This Row],[Adı Soyadı]]),"",İşçilikler!$C$4)</f>
        <v/>
      </c>
      <c r="I96" s="46" t="str">
        <f>IF(ISBLANK(ElOverlogu11[[#This Row],[En]]),"",(ElOverlogu11[[#This Row],[En]])*ElOverlogu11[[#This Row],[ADET]]*2*ElOverlogu11[[#This Row],[BİRİM FİYAT]]/100)</f>
        <v/>
      </c>
      <c r="J96" s="9" t="str">
        <f>IF(ISBLANK(ElOverlogu11[[#This Row],[En]]),"",SUMIF(ElOverlogu11[Adı Soyadı],ElOverlogu11[[#This Row],[Adı Soyadı]],ElOverlogu11[TUTAR]))</f>
        <v/>
      </c>
    </row>
    <row r="97" spans="2:10" ht="15.6" thickTop="1" thickBot="1" x14ac:dyDescent="0.35">
      <c r="B97" s="4" t="str">
        <f>IF(ISBLANK(C97),"",SUBTOTAL(3, $C$3:C97))</f>
        <v/>
      </c>
      <c r="C97" s="34"/>
      <c r="D97" s="7"/>
      <c r="E97" s="8"/>
      <c r="F97" s="8"/>
      <c r="G97" s="8"/>
      <c r="H97" s="42" t="str">
        <f>IF(ISBLANK(ElOverlogu11[[#This Row],[Adı Soyadı]]),"",İşçilikler!$C$4)</f>
        <v/>
      </c>
      <c r="I97" s="47" t="str">
        <f>IF(ISBLANK(ElOverlogu11[[#This Row],[En]]),"",(ElOverlogu11[[#This Row],[En]])*ElOverlogu11[[#This Row],[ADET]]*2*ElOverlogu11[[#This Row],[BİRİM FİYAT]]/100)</f>
        <v/>
      </c>
      <c r="J97" s="9" t="str">
        <f>IF(ISBLANK(ElOverlogu11[[#This Row],[En]]),"",SUMIF(ElOverlogu11[Adı Soyadı],ElOverlogu11[[#This Row],[Adı Soyadı]],ElOverlogu11[TUTAR]))</f>
        <v/>
      </c>
    </row>
    <row r="98" spans="2:10" ht="15.6" thickTop="1" thickBot="1" x14ac:dyDescent="0.35">
      <c r="B98" s="15" t="s">
        <v>40</v>
      </c>
      <c r="C98" s="16"/>
      <c r="D98" s="16"/>
      <c r="E98" s="17"/>
      <c r="F98" s="17"/>
      <c r="G98" s="17">
        <f>SUBTOTAL(109,ElOverlogu11[ADET])</f>
        <v>0</v>
      </c>
      <c r="H98" s="42"/>
      <c r="I98" s="42">
        <f>SUBTOTAL(109,ElOverlogu11[TUTAR])</f>
        <v>0</v>
      </c>
      <c r="J98" s="48"/>
    </row>
    <row r="99" spans="2:10" ht="15" thickTop="1" x14ac:dyDescent="0.3"/>
  </sheetData>
  <conditionalFormatting sqref="C3:C97">
    <cfRule type="colorScale" priority="1">
      <colorScale>
        <cfvo type="min"/>
        <cfvo type="percentile" val="50"/>
        <cfvo type="max"/>
        <color rgb="FFF8696B"/>
        <color rgb="FFFFEB84"/>
        <color rgb="FF63BE7B"/>
      </colorScale>
    </cfRule>
  </conditionalFormatting>
  <pageMargins left="0.70866141732283472" right="0.70866141732283472" top="0.74803149606299213" bottom="0.74803149606299213" header="0.31496062992125984" footer="0.31496062992125984"/>
  <pageSetup paperSize="9" scale="95" orientation="portrait" r:id="rId1"/>
  <rowBreaks count="1" manualBreakCount="1">
    <brk id="29" min="2" max="8" man="1"/>
  </rowBreaks>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0000000}">
          <x14:formula1>
            <xm:f>Ölçüler!$B$2:$B$26</xm:f>
          </x14:formula1>
          <xm:sqref>E3:E97</xm:sqref>
        </x14:dataValidation>
        <x14:dataValidation type="list" allowBlank="1" showInputMessage="1" showErrorMessage="1" xr:uid="{00000000-0002-0000-0800-000001000000}">
          <x14:formula1>
            <xm:f>Ölçüler!$C$2:$C$26</xm:f>
          </x14:formula1>
          <xm:sqref>F3:F97</xm:sqref>
        </x14:dataValidation>
        <x14:dataValidation type="list" allowBlank="1" showInputMessage="1" showErrorMessage="1" xr:uid="{00000000-0002-0000-0800-000002000000}">
          <x14:formula1>
            <xm:f>Personel!$B$2:$B$59</xm:f>
          </x14:formula1>
          <xm:sqref>C3:C97</xm:sqref>
        </x14:dataValidation>
        <x14:dataValidation type="list" allowBlank="1" showInputMessage="1" showErrorMessage="1" xr:uid="{00000000-0002-0000-0800-000003000000}">
          <x14:formula1>
            <xm:f>'Cins'!$B$2:$B$14</xm:f>
          </x14:formula1>
          <xm:sqref>D3:D97</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11</vt:i4>
      </vt:variant>
      <vt:variant>
        <vt:lpstr>Adlandırılmış Aralıklar</vt:lpstr>
      </vt:variant>
      <vt:variant>
        <vt:i4>14</vt:i4>
      </vt:variant>
    </vt:vector>
  </HeadingPairs>
  <TitlesOfParts>
    <vt:vector size="25" baseType="lpstr">
      <vt:lpstr>Personel</vt:lpstr>
      <vt:lpstr>Cins</vt:lpstr>
      <vt:lpstr>İşçilikler</vt:lpstr>
      <vt:lpstr>Ölçüler</vt:lpstr>
      <vt:lpstr>Fiyat</vt:lpstr>
      <vt:lpstr>Standart Ölçüler</vt:lpstr>
      <vt:lpstr>Sacak</vt:lpstr>
      <vt:lpstr>Etiket</vt:lpstr>
      <vt:lpstr>El Overlogu</vt:lpstr>
      <vt:lpstr>Küçük Etiket</vt:lpstr>
      <vt:lpstr>Kartela</vt:lpstr>
      <vt:lpstr>'El Overlogu'!Tablo1</vt:lpstr>
      <vt:lpstr>Kartela!Tablo1</vt:lpstr>
      <vt:lpstr>'Küçük Etiket'!Tablo1</vt:lpstr>
      <vt:lpstr>Tablo1</vt:lpstr>
      <vt:lpstr>'El Overlogu'!Yazdırma_Alanı</vt:lpstr>
      <vt:lpstr>Etiket!Yazdırma_Alanı</vt:lpstr>
      <vt:lpstr>Kartela!Yazdırma_Alanı</vt:lpstr>
      <vt:lpstr>'Küçük Etiket'!Yazdırma_Alanı</vt:lpstr>
      <vt:lpstr>Sacak!Yazdırma_Alanı</vt:lpstr>
      <vt:lpstr>'El Overlogu'!Yazdırma_Başlıkları</vt:lpstr>
      <vt:lpstr>Etiket!Yazdırma_Başlıkları</vt:lpstr>
      <vt:lpstr>Kartela!Yazdırma_Başlıkları</vt:lpstr>
      <vt:lpstr>'Küçük Etiket'!Yazdırma_Başlıkları</vt:lpstr>
      <vt:lpstr>Sacak!Yazdırma_Başlıkları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İlyas YEŞİL</cp:lastModifiedBy>
  <cp:lastPrinted>2026-03-10T12:28:06Z</cp:lastPrinted>
  <dcterms:created xsi:type="dcterms:W3CDTF">2015-06-05T18:19:34Z</dcterms:created>
  <dcterms:modified xsi:type="dcterms:W3CDTF">2026-05-21T16:57:24Z</dcterms:modified>
</cp:coreProperties>
</file>