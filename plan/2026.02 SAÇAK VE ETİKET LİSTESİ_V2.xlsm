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6.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7.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8.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9.xml" ContentType="application/vnd.openxmlformats-officedocument.spreadsheetml.table+xml"/>
  <Override PartName="/xl/slicers/slicer5.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BuÇalışmaKitabı"/>
  <mc:AlternateContent xmlns:mc="http://schemas.openxmlformats.org/markup-compatibility/2006">
    <mc:Choice Requires="x15">
      <x15ac:absPath xmlns:x15ac="http://schemas.microsoft.com/office/spreadsheetml/2010/11/ac" url="https://d.docs.live.net/b2201b3810186541/! İş/- Saçak işçilikler/"/>
    </mc:Choice>
  </mc:AlternateContent>
  <xr:revisionPtr revIDLastSave="14637" documentId="8_{F20A8691-CC49-49D6-9723-DAED8A1EFEBA}" xr6:coauthVersionLast="47" xr6:coauthVersionMax="47" xr10:uidLastSave="{07619DA4-AEED-44C7-8E1E-099B71FDA3E8}"/>
  <bookViews>
    <workbookView xWindow="-120" yWindow="-120" windowWidth="29040" windowHeight="15840" tabRatio="977" activeTab="6" xr2:uid="{00000000-000D-0000-FFFF-FFFF00000000}"/>
  </bookViews>
  <sheets>
    <sheet name="Listeler" sheetId="82" r:id="rId1"/>
    <sheet name="Sacak" sheetId="83" r:id="rId2"/>
    <sheet name="Etiket" sheetId="85" r:id="rId3"/>
    <sheet name="El Overlogu" sheetId="94" r:id="rId4"/>
    <sheet name="Küçük Etiket" sheetId="107" r:id="rId5"/>
    <sheet name="Kartela" sheetId="96" r:id="rId6"/>
    <sheet name="Sacak_çıktı" sheetId="108" r:id="rId7"/>
  </sheets>
  <definedNames>
    <definedName name="Dilimleyici_Adı_Soyadı">#N/A</definedName>
    <definedName name="Dilimleyici_Adı_Soyadı1">#N/A</definedName>
    <definedName name="Dilimleyici_Adı_Soyadı2">#N/A</definedName>
    <definedName name="Dilimleyici_Adı_Soyadı21">#N/A</definedName>
    <definedName name="Dilimleyici_Adı_Soyadı3">#N/A</definedName>
    <definedName name="İsimler" localSheetId="3">ad[]</definedName>
    <definedName name="İsimler" localSheetId="5">ad[]</definedName>
    <definedName name="İsimler" localSheetId="4">ad[]</definedName>
    <definedName name="İsimler">ad[]</definedName>
    <definedName name="Tablo1" localSheetId="3">ElOverlogu[]</definedName>
    <definedName name="Tablo1" localSheetId="5">ElOverlogu11[]</definedName>
    <definedName name="Tablo1" localSheetId="4">Sacak13[]</definedName>
    <definedName name="Tablo1">Sacak[]</definedName>
    <definedName name="_xlnm.Print_Area" localSheetId="3">'El Overlogu'!$C$2:$J$95</definedName>
    <definedName name="_xlnm.Print_Area" localSheetId="2">Etiket!$C$2:$J$114</definedName>
    <definedName name="_xlnm.Print_Area" localSheetId="5">Kartela!$C$2:$J$95</definedName>
    <definedName name="_xlnm.Print_Area" localSheetId="4">'Küçük Etiket'!$C$2:$I$109</definedName>
    <definedName name="_xlnm.Print_Area" localSheetId="1">Sacak!$C$2:$I$109</definedName>
    <definedName name="_xlnm.Print_Titles" localSheetId="3">'El Overlogu'!$2:$2</definedName>
    <definedName name="_xlnm.Print_Titles" localSheetId="2">Etiket!$2:$2</definedName>
    <definedName name="_xlnm.Print_Titles" localSheetId="5">Kartela!$2:$2</definedName>
    <definedName name="_xlnm.Print_Titles" localSheetId="4">'Küçük Etiket'!$2:$2</definedName>
    <definedName name="_xlnm.Print_Titles" localSheetId="1">Sacak!$2:$2</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6" i="82" l="1"/>
  <c r="H37" i="82"/>
  <c r="H38" i="82"/>
  <c r="H39" i="82"/>
  <c r="H40" i="82"/>
  <c r="H13" i="85"/>
  <c r="H14" i="85"/>
  <c r="H15" i="85"/>
  <c r="H16" i="85"/>
  <c r="H17" i="85"/>
  <c r="H18" i="85"/>
  <c r="H19" i="85"/>
  <c r="H20" i="85"/>
  <c r="H21" i="85"/>
  <c r="H22" i="85"/>
  <c r="H23" i="85"/>
  <c r="H24" i="85"/>
  <c r="H25" i="85"/>
  <c r="H26" i="85"/>
  <c r="H27" i="85"/>
  <c r="H28" i="85"/>
  <c r="H29" i="85"/>
  <c r="H30" i="85"/>
  <c r="H31" i="85"/>
  <c r="H32" i="85"/>
  <c r="H33" i="85"/>
  <c r="H34" i="85"/>
  <c r="H35" i="85"/>
  <c r="H36" i="85"/>
  <c r="H37" i="85"/>
  <c r="H38" i="85"/>
  <c r="H39" i="85"/>
  <c r="H40" i="85"/>
  <c r="H41" i="85"/>
  <c r="H42" i="85"/>
  <c r="H43" i="85"/>
  <c r="H44" i="85"/>
  <c r="H45" i="85"/>
  <c r="H46" i="85"/>
  <c r="H47" i="85"/>
  <c r="H48" i="85"/>
  <c r="H49" i="85"/>
  <c r="H50" i="85"/>
  <c r="H51" i="85"/>
  <c r="H52" i="85"/>
  <c r="H53" i="85"/>
  <c r="H54" i="85"/>
  <c r="H55" i="85"/>
  <c r="H56" i="85"/>
  <c r="H57" i="85"/>
  <c r="H58" i="85"/>
  <c r="H59" i="85"/>
  <c r="H60" i="85"/>
  <c r="H61" i="85"/>
  <c r="H62" i="85"/>
  <c r="H63" i="85"/>
  <c r="H64" i="85"/>
  <c r="H65" i="85"/>
  <c r="H66" i="85"/>
  <c r="H67" i="85"/>
  <c r="H68" i="85"/>
  <c r="H69" i="85"/>
  <c r="H70" i="85"/>
  <c r="H71" i="85"/>
  <c r="H72" i="85"/>
  <c r="H73" i="85"/>
  <c r="H74" i="85"/>
  <c r="H75" i="85"/>
  <c r="H76" i="85"/>
  <c r="H77" i="85"/>
  <c r="H78" i="85"/>
  <c r="H79" i="85"/>
  <c r="H80" i="85"/>
  <c r="H81" i="85"/>
  <c r="H82" i="85"/>
  <c r="H83" i="85"/>
  <c r="H84" i="85"/>
  <c r="H85" i="85"/>
  <c r="H86" i="85"/>
  <c r="H87" i="85"/>
  <c r="H88" i="85"/>
  <c r="H89" i="85"/>
  <c r="H90" i="85"/>
  <c r="H91" i="85"/>
  <c r="H92" i="85"/>
  <c r="H93" i="85"/>
  <c r="H94" i="85"/>
  <c r="H95" i="85"/>
  <c r="H96" i="85"/>
  <c r="H97" i="85"/>
  <c r="H98" i="85"/>
  <c r="H99" i="85"/>
  <c r="H100" i="85"/>
  <c r="H101" i="85"/>
  <c r="H102" i="85"/>
  <c r="H103" i="85"/>
  <c r="H104" i="85"/>
  <c r="H105" i="85"/>
  <c r="H106" i="85"/>
  <c r="H107" i="85"/>
  <c r="H108" i="85"/>
  <c r="H109" i="85"/>
  <c r="H110" i="85"/>
  <c r="H111" i="85"/>
  <c r="H112" i="85"/>
  <c r="H113" i="85"/>
  <c r="H114" i="85"/>
  <c r="H115" i="85"/>
  <c r="H116" i="85"/>
  <c r="L4" i="82"/>
  <c r="L5" i="82"/>
  <c r="L7" i="82"/>
  <c r="L8" i="82"/>
  <c r="L9" i="82"/>
  <c r="L10" i="82"/>
  <c r="L11" i="82"/>
  <c r="L12" i="82"/>
  <c r="L13" i="82"/>
  <c r="L14" i="82"/>
  <c r="L15" i="82"/>
  <c r="L16" i="82"/>
  <c r="L17" i="82"/>
  <c r="L18" i="82"/>
  <c r="L19" i="82"/>
  <c r="L20" i="82"/>
  <c r="L21" i="82"/>
  <c r="L22" i="82"/>
  <c r="L6" i="82"/>
  <c r="L23" i="82"/>
  <c r="L24" i="82"/>
  <c r="L25" i="82"/>
  <c r="L26" i="82"/>
  <c r="L27" i="82"/>
  <c r="B52" i="82"/>
  <c r="B53" i="82"/>
  <c r="B54" i="82"/>
  <c r="B55" i="82"/>
  <c r="B56" i="82"/>
  <c r="B57" i="82"/>
  <c r="B58" i="82"/>
  <c r="B59" i="82"/>
  <c r="B60" i="82"/>
  <c r="B49" i="82"/>
  <c r="B50" i="82"/>
  <c r="B51" i="82"/>
  <c r="B24" i="82"/>
  <c r="B29" i="82"/>
  <c r="B38" i="82"/>
  <c r="B47" i="82"/>
  <c r="B25" i="82" l="1"/>
  <c r="B34" i="82"/>
  <c r="H3" i="96"/>
  <c r="I3" i="96" s="1"/>
  <c r="H4" i="96"/>
  <c r="H5" i="96"/>
  <c r="H6" i="96"/>
  <c r="H7" i="96"/>
  <c r="H8" i="96"/>
  <c r="H9" i="96"/>
  <c r="H10" i="96"/>
  <c r="H11" i="96"/>
  <c r="H12" i="96"/>
  <c r="H13" i="96"/>
  <c r="H14" i="96"/>
  <c r="H15" i="96"/>
  <c r="H16" i="96"/>
  <c r="H17" i="96"/>
  <c r="H18" i="96"/>
  <c r="H19" i="96"/>
  <c r="H20" i="96"/>
  <c r="H21" i="96"/>
  <c r="H22" i="96"/>
  <c r="H23" i="96"/>
  <c r="H24" i="96"/>
  <c r="H25" i="96"/>
  <c r="H26" i="96"/>
  <c r="H27" i="96"/>
  <c r="H28" i="96"/>
  <c r="H29" i="96"/>
  <c r="H30" i="96"/>
  <c r="H31" i="96"/>
  <c r="H32" i="96"/>
  <c r="H33" i="96"/>
  <c r="H34" i="96"/>
  <c r="H35" i="96"/>
  <c r="H36" i="96"/>
  <c r="H37" i="96"/>
  <c r="H38" i="96"/>
  <c r="H39" i="96"/>
  <c r="H40" i="96"/>
  <c r="H41" i="96"/>
  <c r="H42" i="96"/>
  <c r="H43" i="96"/>
  <c r="H44" i="96"/>
  <c r="H45" i="96"/>
  <c r="H46" i="96"/>
  <c r="H47" i="96"/>
  <c r="H48" i="96"/>
  <c r="H49" i="96"/>
  <c r="H50" i="96"/>
  <c r="H51" i="96"/>
  <c r="H52" i="96"/>
  <c r="H53" i="96"/>
  <c r="H54" i="96"/>
  <c r="H55" i="96"/>
  <c r="H56" i="96"/>
  <c r="H57" i="96"/>
  <c r="H58" i="96"/>
  <c r="H59" i="96"/>
  <c r="H60" i="96"/>
  <c r="H61" i="96"/>
  <c r="H62" i="96"/>
  <c r="H63" i="96"/>
  <c r="H64" i="96"/>
  <c r="H65" i="96"/>
  <c r="H66" i="96"/>
  <c r="H67" i="96"/>
  <c r="H68" i="96"/>
  <c r="H69" i="96"/>
  <c r="H70" i="96"/>
  <c r="H71" i="96"/>
  <c r="H72" i="96"/>
  <c r="H73" i="96"/>
  <c r="H74" i="96"/>
  <c r="H75" i="96"/>
  <c r="H76" i="96"/>
  <c r="H77" i="96"/>
  <c r="H78" i="96"/>
  <c r="H79" i="96"/>
  <c r="H80" i="96"/>
  <c r="H81" i="96"/>
  <c r="H82" i="96"/>
  <c r="H83" i="96"/>
  <c r="H84" i="96"/>
  <c r="H85" i="96"/>
  <c r="H86" i="96"/>
  <c r="H87" i="96"/>
  <c r="H88" i="96"/>
  <c r="H89" i="96"/>
  <c r="H90" i="96"/>
  <c r="H91" i="96"/>
  <c r="H92" i="96"/>
  <c r="H93" i="96"/>
  <c r="H94" i="96"/>
  <c r="H95" i="96"/>
  <c r="H96" i="96"/>
  <c r="H97" i="96"/>
  <c r="I4" i="96"/>
  <c r="I5" i="96"/>
  <c r="I6" i="96"/>
  <c r="I7" i="96"/>
  <c r="I8" i="96"/>
  <c r="I9" i="96"/>
  <c r="I10" i="96"/>
  <c r="I11" i="96"/>
  <c r="I12" i="96"/>
  <c r="I13" i="96"/>
  <c r="I14" i="96"/>
  <c r="I15" i="96"/>
  <c r="I16" i="96"/>
  <c r="I17" i="96"/>
  <c r="I18" i="96"/>
  <c r="I19" i="96"/>
  <c r="I20" i="96"/>
  <c r="I21" i="96"/>
  <c r="I22" i="96"/>
  <c r="I23" i="96"/>
  <c r="I24" i="96"/>
  <c r="I25" i="96"/>
  <c r="I26" i="96"/>
  <c r="I27" i="96"/>
  <c r="I28" i="96"/>
  <c r="I29" i="96"/>
  <c r="I30" i="96"/>
  <c r="I31" i="96"/>
  <c r="I32" i="96"/>
  <c r="I33" i="96"/>
  <c r="I34" i="96"/>
  <c r="I35" i="96"/>
  <c r="I36" i="96"/>
  <c r="I37" i="96"/>
  <c r="I38" i="96"/>
  <c r="I39" i="96"/>
  <c r="I40" i="96"/>
  <c r="I41" i="96"/>
  <c r="I42" i="96"/>
  <c r="I43" i="96"/>
  <c r="I44" i="96"/>
  <c r="I45" i="96"/>
  <c r="I46" i="96"/>
  <c r="I47" i="96"/>
  <c r="I48" i="96"/>
  <c r="I49" i="96"/>
  <c r="I50" i="96"/>
  <c r="I51" i="96"/>
  <c r="I52" i="96"/>
  <c r="I53" i="96"/>
  <c r="I54" i="96"/>
  <c r="I55" i="96"/>
  <c r="I56" i="96"/>
  <c r="I57" i="96"/>
  <c r="I58" i="96"/>
  <c r="I59" i="96"/>
  <c r="I60" i="96"/>
  <c r="I61" i="96"/>
  <c r="I62" i="96"/>
  <c r="I63" i="96"/>
  <c r="I64" i="96"/>
  <c r="I65" i="96"/>
  <c r="I66" i="96"/>
  <c r="I67" i="96"/>
  <c r="I68" i="96"/>
  <c r="I69" i="96"/>
  <c r="I70" i="96"/>
  <c r="I71" i="96"/>
  <c r="I72" i="96"/>
  <c r="I73" i="96"/>
  <c r="I74" i="96"/>
  <c r="I75" i="96"/>
  <c r="I76" i="96"/>
  <c r="I77" i="96"/>
  <c r="I78" i="96"/>
  <c r="I79" i="96"/>
  <c r="I80" i="96"/>
  <c r="I81" i="96"/>
  <c r="I82" i="96"/>
  <c r="I83" i="96"/>
  <c r="I84" i="96"/>
  <c r="I85" i="96"/>
  <c r="I86" i="96"/>
  <c r="I87" i="96"/>
  <c r="I88" i="96"/>
  <c r="I89" i="96"/>
  <c r="I90" i="96"/>
  <c r="I91" i="96"/>
  <c r="I92" i="96"/>
  <c r="I93" i="96"/>
  <c r="I94" i="96"/>
  <c r="I95" i="96"/>
  <c r="I96" i="96"/>
  <c r="I97" i="96"/>
  <c r="G3" i="107"/>
  <c r="H3" i="107" s="1"/>
  <c r="G4" i="107"/>
  <c r="H4" i="107" s="1"/>
  <c r="G5" i="107"/>
  <c r="G6" i="107"/>
  <c r="G7" i="107"/>
  <c r="G8" i="107"/>
  <c r="G9" i="107"/>
  <c r="G10" i="107"/>
  <c r="G11" i="107"/>
  <c r="G12" i="107"/>
  <c r="G13" i="107"/>
  <c r="G14" i="107"/>
  <c r="G15" i="107"/>
  <c r="G16" i="107"/>
  <c r="G17" i="107"/>
  <c r="G18" i="107"/>
  <c r="G19" i="107"/>
  <c r="G20" i="107"/>
  <c r="G21" i="107"/>
  <c r="G22" i="107"/>
  <c r="G23" i="107"/>
  <c r="G24" i="107"/>
  <c r="G25" i="107"/>
  <c r="G26" i="107"/>
  <c r="G27" i="107"/>
  <c r="G28" i="107"/>
  <c r="G29" i="107"/>
  <c r="G30" i="107"/>
  <c r="G31" i="107"/>
  <c r="G32" i="107"/>
  <c r="G33" i="107"/>
  <c r="G34" i="107"/>
  <c r="G35" i="107"/>
  <c r="G36" i="107"/>
  <c r="G37" i="107"/>
  <c r="G38" i="107"/>
  <c r="G39" i="107"/>
  <c r="G40" i="107"/>
  <c r="G41" i="107"/>
  <c r="G42" i="107"/>
  <c r="G43" i="107"/>
  <c r="G44" i="107"/>
  <c r="G45" i="107"/>
  <c r="G46" i="107"/>
  <c r="G47" i="107"/>
  <c r="G48" i="107"/>
  <c r="G49" i="107"/>
  <c r="G50" i="107"/>
  <c r="G51" i="107"/>
  <c r="G52" i="107"/>
  <c r="G53" i="107"/>
  <c r="G54" i="107"/>
  <c r="G55" i="107"/>
  <c r="G56" i="107"/>
  <c r="G57" i="107"/>
  <c r="G58" i="107"/>
  <c r="G59" i="107"/>
  <c r="G60" i="107"/>
  <c r="G61" i="107"/>
  <c r="G62" i="107"/>
  <c r="G63" i="107"/>
  <c r="G64" i="107"/>
  <c r="G65" i="107"/>
  <c r="G66" i="107"/>
  <c r="G67" i="107"/>
  <c r="G68" i="107"/>
  <c r="G69" i="107"/>
  <c r="G70" i="107"/>
  <c r="G71" i="107"/>
  <c r="G72" i="107"/>
  <c r="G73" i="107"/>
  <c r="G74" i="107"/>
  <c r="G75" i="107"/>
  <c r="G76" i="107"/>
  <c r="G77" i="107"/>
  <c r="G78" i="107"/>
  <c r="G79" i="107"/>
  <c r="G80" i="107"/>
  <c r="G81" i="107"/>
  <c r="G82" i="107"/>
  <c r="G83" i="107"/>
  <c r="G84" i="107"/>
  <c r="G85" i="107"/>
  <c r="G86" i="107"/>
  <c r="G87" i="107"/>
  <c r="G88" i="107"/>
  <c r="G89" i="107"/>
  <c r="G90" i="107"/>
  <c r="G91" i="107"/>
  <c r="G92" i="107"/>
  <c r="G93" i="107"/>
  <c r="G94" i="107"/>
  <c r="G95" i="107"/>
  <c r="G96" i="107"/>
  <c r="G97" i="107"/>
  <c r="G98" i="107"/>
  <c r="G99" i="107"/>
  <c r="G100" i="107"/>
  <c r="G101" i="107"/>
  <c r="G102" i="107"/>
  <c r="G103" i="107"/>
  <c r="G104" i="107"/>
  <c r="G105" i="107"/>
  <c r="G106" i="107"/>
  <c r="G107" i="107"/>
  <c r="G108" i="107"/>
  <c r="G109" i="107"/>
  <c r="G110" i="107"/>
  <c r="G111" i="107"/>
  <c r="H5" i="107"/>
  <c r="H6" i="107"/>
  <c r="H7" i="107"/>
  <c r="H8" i="107"/>
  <c r="H9" i="107"/>
  <c r="H10" i="107"/>
  <c r="H11" i="107"/>
  <c r="H12" i="107"/>
  <c r="H13" i="107"/>
  <c r="H14" i="107"/>
  <c r="H15" i="107"/>
  <c r="H16" i="107"/>
  <c r="H17" i="107"/>
  <c r="H18" i="107"/>
  <c r="H19" i="107"/>
  <c r="H20" i="107"/>
  <c r="H21" i="107"/>
  <c r="H22" i="107"/>
  <c r="H23" i="107"/>
  <c r="H24" i="107"/>
  <c r="H25" i="107"/>
  <c r="H26" i="107"/>
  <c r="H27" i="107"/>
  <c r="H28" i="107"/>
  <c r="H29" i="107"/>
  <c r="H30" i="107"/>
  <c r="H31" i="107"/>
  <c r="H32" i="107"/>
  <c r="H33" i="107"/>
  <c r="H34" i="107"/>
  <c r="H35" i="107"/>
  <c r="H36" i="107"/>
  <c r="H37" i="107"/>
  <c r="H38" i="107"/>
  <c r="H39" i="107"/>
  <c r="H40" i="107"/>
  <c r="H41" i="107"/>
  <c r="H42" i="107"/>
  <c r="H43" i="107"/>
  <c r="H44" i="107"/>
  <c r="H45" i="107"/>
  <c r="H46" i="107"/>
  <c r="H47" i="107"/>
  <c r="H48" i="107"/>
  <c r="H49" i="107"/>
  <c r="H50" i="107"/>
  <c r="H51" i="107"/>
  <c r="H52" i="107"/>
  <c r="H53" i="107"/>
  <c r="H54" i="107"/>
  <c r="H55" i="107"/>
  <c r="H56" i="107"/>
  <c r="H57" i="107"/>
  <c r="H58" i="107"/>
  <c r="H59" i="107"/>
  <c r="H60" i="107"/>
  <c r="H61" i="107"/>
  <c r="H62" i="107"/>
  <c r="H63" i="107"/>
  <c r="H64" i="107"/>
  <c r="H65" i="107"/>
  <c r="H66" i="107"/>
  <c r="H67" i="107"/>
  <c r="H68" i="107"/>
  <c r="H69" i="107"/>
  <c r="H70" i="107"/>
  <c r="H71" i="107"/>
  <c r="H72" i="107"/>
  <c r="H73" i="107"/>
  <c r="H74" i="107"/>
  <c r="H75" i="107"/>
  <c r="H76" i="107"/>
  <c r="H77" i="107"/>
  <c r="H78" i="107"/>
  <c r="H79" i="107"/>
  <c r="H80" i="107"/>
  <c r="H81" i="107"/>
  <c r="H82" i="107"/>
  <c r="H83" i="107"/>
  <c r="H84" i="107"/>
  <c r="H85" i="107"/>
  <c r="H86" i="107"/>
  <c r="H87" i="107"/>
  <c r="H88" i="107"/>
  <c r="H89" i="107"/>
  <c r="H90" i="107"/>
  <c r="H91" i="107"/>
  <c r="H92" i="107"/>
  <c r="H93" i="107"/>
  <c r="H94" i="107"/>
  <c r="H95" i="107"/>
  <c r="H96" i="107"/>
  <c r="H97" i="107"/>
  <c r="H98" i="107"/>
  <c r="H99" i="107"/>
  <c r="H100" i="107"/>
  <c r="H101" i="107"/>
  <c r="H102" i="107"/>
  <c r="H103" i="107"/>
  <c r="H104" i="107"/>
  <c r="H105" i="107"/>
  <c r="H106" i="107"/>
  <c r="H107" i="107"/>
  <c r="H108" i="107"/>
  <c r="H109" i="107"/>
  <c r="H110" i="107"/>
  <c r="H111" i="107"/>
  <c r="I5" i="107"/>
  <c r="I6" i="107"/>
  <c r="I7" i="107"/>
  <c r="I8" i="107"/>
  <c r="I9" i="107"/>
  <c r="I10" i="107"/>
  <c r="I11" i="107"/>
  <c r="I12" i="107"/>
  <c r="I13" i="107"/>
  <c r="I14" i="107"/>
  <c r="I15" i="107"/>
  <c r="I16" i="107"/>
  <c r="I17" i="107"/>
  <c r="I18" i="107"/>
  <c r="I19" i="107"/>
  <c r="I20" i="107"/>
  <c r="I21" i="107"/>
  <c r="I22" i="107"/>
  <c r="I23" i="107"/>
  <c r="I24" i="107"/>
  <c r="I25" i="107"/>
  <c r="I26" i="107"/>
  <c r="I27" i="107"/>
  <c r="I28" i="107"/>
  <c r="I29" i="107"/>
  <c r="I30" i="107"/>
  <c r="I31" i="107"/>
  <c r="I32" i="107"/>
  <c r="I33" i="107"/>
  <c r="I34" i="107"/>
  <c r="I35" i="107"/>
  <c r="I36" i="107"/>
  <c r="I37" i="107"/>
  <c r="I38" i="107"/>
  <c r="I39" i="107"/>
  <c r="I40" i="107"/>
  <c r="I41" i="107"/>
  <c r="I42" i="107"/>
  <c r="I43" i="107"/>
  <c r="I44" i="107"/>
  <c r="I45" i="107"/>
  <c r="I46" i="107"/>
  <c r="I47" i="107"/>
  <c r="I48" i="107"/>
  <c r="I49" i="107"/>
  <c r="I50" i="107"/>
  <c r="I51" i="107"/>
  <c r="I52" i="107"/>
  <c r="I53" i="107"/>
  <c r="I54" i="107"/>
  <c r="I55" i="107"/>
  <c r="I56" i="107"/>
  <c r="I57" i="107"/>
  <c r="I58" i="107"/>
  <c r="I59" i="107"/>
  <c r="I60" i="107"/>
  <c r="I61" i="107"/>
  <c r="I62" i="107"/>
  <c r="I63" i="107"/>
  <c r="I64" i="107"/>
  <c r="I65" i="107"/>
  <c r="I66" i="107"/>
  <c r="I67" i="107"/>
  <c r="I68" i="107"/>
  <c r="I69" i="107"/>
  <c r="I70" i="107"/>
  <c r="I71" i="107"/>
  <c r="I72" i="107"/>
  <c r="I73" i="107"/>
  <c r="I74" i="107"/>
  <c r="I75" i="107"/>
  <c r="I76" i="107"/>
  <c r="I77" i="107"/>
  <c r="I78" i="107"/>
  <c r="I79" i="107"/>
  <c r="I80" i="107"/>
  <c r="I81" i="107"/>
  <c r="I82" i="107"/>
  <c r="I83" i="107"/>
  <c r="I84" i="107"/>
  <c r="I85" i="107"/>
  <c r="I86" i="107"/>
  <c r="I87" i="107"/>
  <c r="I88" i="107"/>
  <c r="I89" i="107"/>
  <c r="I90" i="107"/>
  <c r="I91" i="107"/>
  <c r="I92" i="107"/>
  <c r="I93" i="107"/>
  <c r="I94" i="107"/>
  <c r="I95" i="107"/>
  <c r="I96" i="107"/>
  <c r="I97" i="107"/>
  <c r="I98" i="107"/>
  <c r="I99" i="107"/>
  <c r="I100" i="107"/>
  <c r="I101" i="107"/>
  <c r="I102" i="107"/>
  <c r="I103" i="107"/>
  <c r="I104" i="107"/>
  <c r="I105" i="107"/>
  <c r="I106" i="107"/>
  <c r="I107" i="107"/>
  <c r="I108" i="107"/>
  <c r="I109" i="107"/>
  <c r="I110" i="107"/>
  <c r="I111" i="107"/>
  <c r="F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B77" i="107"/>
  <c r="B76" i="107"/>
  <c r="B75" i="107"/>
  <c r="B74" i="107"/>
  <c r="B73" i="107"/>
  <c r="B72" i="107"/>
  <c r="B71" i="107"/>
  <c r="B70" i="107"/>
  <c r="B69" i="107"/>
  <c r="B68" i="107"/>
  <c r="B67" i="107"/>
  <c r="B66" i="107"/>
  <c r="B65" i="107"/>
  <c r="B64" i="107"/>
  <c r="B63" i="107"/>
  <c r="B62" i="107"/>
  <c r="B61" i="107"/>
  <c r="B60" i="107"/>
  <c r="B59" i="107"/>
  <c r="B58" i="107"/>
  <c r="B57" i="107"/>
  <c r="B56" i="107"/>
  <c r="B55" i="107"/>
  <c r="B54" i="107"/>
  <c r="B53" i="107"/>
  <c r="B52" i="107"/>
  <c r="B51" i="107"/>
  <c r="B50" i="107"/>
  <c r="B49" i="107"/>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B15" i="107"/>
  <c r="B14" i="107"/>
  <c r="B13" i="107"/>
  <c r="B12" i="107"/>
  <c r="B11" i="107"/>
  <c r="B10" i="107"/>
  <c r="B9" i="107"/>
  <c r="B8" i="107"/>
  <c r="B7" i="107"/>
  <c r="B6" i="107"/>
  <c r="B5" i="107"/>
  <c r="B4" i="107"/>
  <c r="B3" i="107"/>
  <c r="G98" i="96"/>
  <c r="J97" i="96"/>
  <c r="B97" i="96"/>
  <c r="J96" i="96"/>
  <c r="B96" i="96"/>
  <c r="J95" i="96"/>
  <c r="B95" i="96"/>
  <c r="J94" i="96"/>
  <c r="B94" i="96"/>
  <c r="J93" i="96"/>
  <c r="B93" i="96"/>
  <c r="J92" i="96"/>
  <c r="B92" i="96"/>
  <c r="J91" i="96"/>
  <c r="B91" i="96"/>
  <c r="J90" i="96"/>
  <c r="B90" i="96"/>
  <c r="J89" i="96"/>
  <c r="B89" i="96"/>
  <c r="J88" i="96"/>
  <c r="B88" i="96"/>
  <c r="J87" i="96"/>
  <c r="B87" i="96"/>
  <c r="J86" i="96"/>
  <c r="B86" i="96"/>
  <c r="J85" i="96"/>
  <c r="B85" i="96"/>
  <c r="J84" i="96"/>
  <c r="B84" i="96"/>
  <c r="J83" i="96"/>
  <c r="B83" i="96"/>
  <c r="J82" i="96"/>
  <c r="B82" i="96"/>
  <c r="J81" i="96"/>
  <c r="B81" i="96"/>
  <c r="J80" i="96"/>
  <c r="B80" i="96"/>
  <c r="J79" i="96"/>
  <c r="B79" i="96"/>
  <c r="J78" i="96"/>
  <c r="B78" i="96"/>
  <c r="J77" i="96"/>
  <c r="B77" i="96"/>
  <c r="J76" i="96"/>
  <c r="B76" i="96"/>
  <c r="J75" i="96"/>
  <c r="B75" i="96"/>
  <c r="J74" i="96"/>
  <c r="B74" i="96"/>
  <c r="J73" i="96"/>
  <c r="B73" i="96"/>
  <c r="J72" i="96"/>
  <c r="B72" i="96"/>
  <c r="J71" i="96"/>
  <c r="B71" i="96"/>
  <c r="J70" i="96"/>
  <c r="B70" i="96"/>
  <c r="J69" i="96"/>
  <c r="B69" i="96"/>
  <c r="J68" i="96"/>
  <c r="B68" i="96"/>
  <c r="J67" i="96"/>
  <c r="B67" i="96"/>
  <c r="J66" i="96"/>
  <c r="B66" i="96"/>
  <c r="J65" i="96"/>
  <c r="B65" i="96"/>
  <c r="J64" i="96"/>
  <c r="B64" i="96"/>
  <c r="J63" i="96"/>
  <c r="B63" i="96"/>
  <c r="J62" i="96"/>
  <c r="B62" i="96"/>
  <c r="J61" i="96"/>
  <c r="B61" i="96"/>
  <c r="J60" i="96"/>
  <c r="B60" i="96"/>
  <c r="J59" i="96"/>
  <c r="B59" i="96"/>
  <c r="J58" i="96"/>
  <c r="B58" i="96"/>
  <c r="J57" i="96"/>
  <c r="B57" i="96"/>
  <c r="J56" i="96"/>
  <c r="B56" i="96"/>
  <c r="J55" i="96"/>
  <c r="B55" i="96"/>
  <c r="J54" i="96"/>
  <c r="B54" i="96"/>
  <c r="J53" i="96"/>
  <c r="B53" i="96"/>
  <c r="J52" i="96"/>
  <c r="B52" i="96"/>
  <c r="J51" i="96"/>
  <c r="B51" i="96"/>
  <c r="J50" i="96"/>
  <c r="B50" i="96"/>
  <c r="J49" i="96"/>
  <c r="B49" i="96"/>
  <c r="J48" i="96"/>
  <c r="B48" i="96"/>
  <c r="J47" i="96"/>
  <c r="B47" i="96"/>
  <c r="J46" i="96"/>
  <c r="B46" i="96"/>
  <c r="J45" i="96"/>
  <c r="B45" i="96"/>
  <c r="J44" i="96"/>
  <c r="B44" i="96"/>
  <c r="J43" i="96"/>
  <c r="B43" i="96"/>
  <c r="J42" i="96"/>
  <c r="B42" i="96"/>
  <c r="J41" i="96"/>
  <c r="B41" i="96"/>
  <c r="J40" i="96"/>
  <c r="B40" i="96"/>
  <c r="J39" i="96"/>
  <c r="B39" i="96"/>
  <c r="J38" i="96"/>
  <c r="B38" i="96"/>
  <c r="J37" i="96"/>
  <c r="B37" i="96"/>
  <c r="J36" i="96"/>
  <c r="B36" i="96"/>
  <c r="J35" i="96"/>
  <c r="B35" i="96"/>
  <c r="J34" i="96"/>
  <c r="B34" i="96"/>
  <c r="J33" i="96"/>
  <c r="B33" i="96"/>
  <c r="J32" i="96"/>
  <c r="B32" i="96"/>
  <c r="J31" i="96"/>
  <c r="B31" i="96"/>
  <c r="J30" i="96"/>
  <c r="B30" i="96"/>
  <c r="J29" i="96"/>
  <c r="B29" i="96"/>
  <c r="J28" i="96"/>
  <c r="B28" i="96"/>
  <c r="J27" i="96"/>
  <c r="B27" i="96"/>
  <c r="J26" i="96"/>
  <c r="B26" i="96"/>
  <c r="J25" i="96"/>
  <c r="B25" i="96"/>
  <c r="J24" i="96"/>
  <c r="B24" i="96"/>
  <c r="J23" i="96"/>
  <c r="B23" i="96"/>
  <c r="J22" i="96"/>
  <c r="B22" i="96"/>
  <c r="J21" i="96"/>
  <c r="B21" i="96"/>
  <c r="J20" i="96"/>
  <c r="B20" i="96"/>
  <c r="J19" i="96"/>
  <c r="B19" i="96"/>
  <c r="J18" i="96"/>
  <c r="B18" i="96"/>
  <c r="J17" i="96"/>
  <c r="B17" i="96"/>
  <c r="J16" i="96"/>
  <c r="B16" i="96"/>
  <c r="J15" i="96"/>
  <c r="B15" i="96"/>
  <c r="J14" i="96"/>
  <c r="B14" i="96"/>
  <c r="J13" i="96"/>
  <c r="B13" i="96"/>
  <c r="J12" i="96"/>
  <c r="B12" i="96"/>
  <c r="J11" i="96"/>
  <c r="B11" i="96"/>
  <c r="J10" i="96"/>
  <c r="B10" i="96"/>
  <c r="J9" i="96"/>
  <c r="B9" i="96"/>
  <c r="J8" i="96"/>
  <c r="B8" i="96"/>
  <c r="J7" i="96"/>
  <c r="B7" i="96"/>
  <c r="J6" i="96"/>
  <c r="B6" i="96"/>
  <c r="J5" i="96"/>
  <c r="B5" i="96"/>
  <c r="J4" i="96"/>
  <c r="B4" i="96"/>
  <c r="B3" i="96"/>
  <c r="B4" i="82"/>
  <c r="B5" i="82"/>
  <c r="B6" i="82"/>
  <c r="B7" i="82"/>
  <c r="B10" i="82"/>
  <c r="B12" i="82"/>
  <c r="B14" i="82"/>
  <c r="B15" i="82"/>
  <c r="B16" i="82"/>
  <c r="B18" i="82"/>
  <c r="B19" i="82"/>
  <c r="B20" i="82"/>
  <c r="B21" i="82"/>
  <c r="B22" i="82"/>
  <c r="B23" i="82"/>
  <c r="B26" i="82"/>
  <c r="B27" i="82"/>
  <c r="B28" i="82"/>
  <c r="B30" i="82"/>
  <c r="B32" i="82"/>
  <c r="B33" i="82"/>
  <c r="B35" i="82"/>
  <c r="B36" i="82"/>
  <c r="B37" i="82"/>
  <c r="B39" i="82"/>
  <c r="B40" i="82"/>
  <c r="B41" i="82"/>
  <c r="B42" i="82"/>
  <c r="B43" i="82"/>
  <c r="B44" i="82"/>
  <c r="B45" i="82"/>
  <c r="B46" i="82"/>
  <c r="B48" i="82"/>
  <c r="B11" i="82"/>
  <c r="B9" i="82"/>
  <c r="B17" i="82"/>
  <c r="B13" i="82"/>
  <c r="B31" i="82"/>
  <c r="B8" i="82"/>
  <c r="I7" i="94"/>
  <c r="I8" i="94"/>
  <c r="I9" i="94"/>
  <c r="I10" i="94"/>
  <c r="I11" i="94"/>
  <c r="I12" i="94"/>
  <c r="I13" i="94"/>
  <c r="I14" i="94"/>
  <c r="I15" i="94"/>
  <c r="I16" i="94"/>
  <c r="I17" i="94"/>
  <c r="I18" i="94"/>
  <c r="I19" i="94"/>
  <c r="I20" i="94"/>
  <c r="I21" i="94"/>
  <c r="I22" i="94"/>
  <c r="I23" i="94"/>
  <c r="I24" i="94"/>
  <c r="I25" i="94"/>
  <c r="I26" i="94"/>
  <c r="I27" i="94"/>
  <c r="I28" i="94"/>
  <c r="I29" i="94"/>
  <c r="I30" i="94"/>
  <c r="I31" i="94"/>
  <c r="I32" i="94"/>
  <c r="I33" i="94"/>
  <c r="I34" i="94"/>
  <c r="I35" i="94"/>
  <c r="I36" i="94"/>
  <c r="I37" i="94"/>
  <c r="I38" i="94"/>
  <c r="I39" i="94"/>
  <c r="I40" i="94"/>
  <c r="I41" i="94"/>
  <c r="I42" i="94"/>
  <c r="I43" i="94"/>
  <c r="I44" i="94"/>
  <c r="I45" i="94"/>
  <c r="I46" i="94"/>
  <c r="I47" i="94"/>
  <c r="I48" i="94"/>
  <c r="I49" i="94"/>
  <c r="I50" i="94"/>
  <c r="I51" i="94"/>
  <c r="I52" i="94"/>
  <c r="I53" i="94"/>
  <c r="I54" i="94"/>
  <c r="I55" i="94"/>
  <c r="I56" i="94"/>
  <c r="I57" i="94"/>
  <c r="I58" i="94"/>
  <c r="I59" i="94"/>
  <c r="I60" i="94"/>
  <c r="I61" i="94"/>
  <c r="I62" i="94"/>
  <c r="I63" i="94"/>
  <c r="I64" i="94"/>
  <c r="I65" i="94"/>
  <c r="I66" i="94"/>
  <c r="I67" i="94"/>
  <c r="I68" i="94"/>
  <c r="I69" i="94"/>
  <c r="I70" i="94"/>
  <c r="I71" i="94"/>
  <c r="I72" i="94"/>
  <c r="I73" i="94"/>
  <c r="I74" i="94"/>
  <c r="I75" i="94"/>
  <c r="I76" i="94"/>
  <c r="I77" i="94"/>
  <c r="I78" i="94"/>
  <c r="I79" i="94"/>
  <c r="I80" i="94"/>
  <c r="I81" i="94"/>
  <c r="I82" i="94"/>
  <c r="I83" i="94"/>
  <c r="I84" i="94"/>
  <c r="I85" i="94"/>
  <c r="I86" i="94"/>
  <c r="I87" i="94"/>
  <c r="I88" i="94"/>
  <c r="I89" i="94"/>
  <c r="I90" i="94"/>
  <c r="I91" i="94"/>
  <c r="I92" i="94"/>
  <c r="I93" i="94"/>
  <c r="I94" i="94"/>
  <c r="I95" i="94"/>
  <c r="I96" i="94"/>
  <c r="I97" i="94"/>
  <c r="L3" i="82"/>
  <c r="H3" i="94"/>
  <c r="I3" i="94" s="1"/>
  <c r="H4" i="94"/>
  <c r="I4" i="94" s="1"/>
  <c r="H5" i="94"/>
  <c r="I5" i="94" s="1"/>
  <c r="H6" i="94"/>
  <c r="I6" i="94" s="1"/>
  <c r="H7" i="94"/>
  <c r="H8" i="94"/>
  <c r="H9" i="94"/>
  <c r="H10" i="94"/>
  <c r="H11" i="94"/>
  <c r="H12" i="94"/>
  <c r="H13" i="94"/>
  <c r="H14" i="94"/>
  <c r="H15" i="94"/>
  <c r="H16" i="94"/>
  <c r="H17" i="94"/>
  <c r="H18" i="94"/>
  <c r="H19" i="94"/>
  <c r="H20" i="94"/>
  <c r="H21" i="94"/>
  <c r="H22" i="94"/>
  <c r="H23" i="94"/>
  <c r="H24" i="94"/>
  <c r="H25" i="94"/>
  <c r="H26" i="94"/>
  <c r="H27" i="94"/>
  <c r="H28" i="94"/>
  <c r="H29" i="94"/>
  <c r="H30" i="94"/>
  <c r="H31" i="94"/>
  <c r="H32" i="94"/>
  <c r="H33" i="94"/>
  <c r="H34" i="94"/>
  <c r="H35" i="94"/>
  <c r="H36" i="94"/>
  <c r="H37" i="94"/>
  <c r="H38" i="94"/>
  <c r="H39" i="94"/>
  <c r="H40" i="94"/>
  <c r="H41" i="94"/>
  <c r="H42" i="94"/>
  <c r="H43" i="94"/>
  <c r="H44" i="94"/>
  <c r="H45" i="94"/>
  <c r="H46" i="94"/>
  <c r="H47" i="94"/>
  <c r="H48" i="94"/>
  <c r="H49" i="94"/>
  <c r="H50" i="94"/>
  <c r="H51" i="94"/>
  <c r="H52" i="94"/>
  <c r="H53" i="94"/>
  <c r="H54" i="94"/>
  <c r="H55" i="94"/>
  <c r="H56" i="94"/>
  <c r="H57" i="94"/>
  <c r="H58" i="94"/>
  <c r="H59" i="94"/>
  <c r="H60" i="94"/>
  <c r="H61" i="94"/>
  <c r="H62" i="94"/>
  <c r="H63" i="94"/>
  <c r="H64" i="94"/>
  <c r="H65" i="94"/>
  <c r="H66" i="94"/>
  <c r="H67" i="94"/>
  <c r="H68" i="94"/>
  <c r="H69" i="94"/>
  <c r="H70" i="94"/>
  <c r="H71" i="94"/>
  <c r="H72" i="94"/>
  <c r="H73" i="94"/>
  <c r="H74" i="94"/>
  <c r="H75" i="94"/>
  <c r="H76" i="94"/>
  <c r="H77" i="94"/>
  <c r="H78" i="94"/>
  <c r="H79" i="94"/>
  <c r="H80" i="94"/>
  <c r="H81" i="94"/>
  <c r="H82" i="94"/>
  <c r="H83" i="94"/>
  <c r="H84" i="94"/>
  <c r="H85" i="94"/>
  <c r="H86" i="94"/>
  <c r="H87" i="94"/>
  <c r="H88" i="94"/>
  <c r="H89" i="94"/>
  <c r="H90" i="94"/>
  <c r="H91" i="94"/>
  <c r="H92" i="94"/>
  <c r="H93" i="94"/>
  <c r="H94" i="94"/>
  <c r="H95" i="94"/>
  <c r="H96" i="94"/>
  <c r="H97" i="94"/>
  <c r="G98" i="94"/>
  <c r="J97" i="94"/>
  <c r="B97" i="94"/>
  <c r="J96" i="94"/>
  <c r="B96" i="94"/>
  <c r="J95" i="94"/>
  <c r="B95" i="94"/>
  <c r="J94" i="94"/>
  <c r="B94" i="94"/>
  <c r="J93" i="94"/>
  <c r="B93" i="94"/>
  <c r="J92" i="94"/>
  <c r="B92" i="94"/>
  <c r="J91" i="94"/>
  <c r="B91" i="94"/>
  <c r="J90" i="94"/>
  <c r="B90" i="94"/>
  <c r="J89" i="94"/>
  <c r="B89" i="94"/>
  <c r="J88" i="94"/>
  <c r="B88" i="94"/>
  <c r="J87" i="94"/>
  <c r="B87" i="94"/>
  <c r="J86" i="94"/>
  <c r="B86" i="94"/>
  <c r="J85" i="94"/>
  <c r="B85" i="94"/>
  <c r="J84" i="94"/>
  <c r="B84" i="94"/>
  <c r="J83" i="94"/>
  <c r="B83" i="94"/>
  <c r="J82" i="94"/>
  <c r="B82" i="94"/>
  <c r="J81" i="94"/>
  <c r="B81" i="94"/>
  <c r="J80" i="94"/>
  <c r="B80" i="94"/>
  <c r="J79" i="94"/>
  <c r="B79" i="94"/>
  <c r="J78" i="94"/>
  <c r="B78" i="94"/>
  <c r="J77" i="94"/>
  <c r="B77" i="94"/>
  <c r="J76" i="94"/>
  <c r="B76" i="94"/>
  <c r="J75" i="94"/>
  <c r="B75" i="94"/>
  <c r="J74" i="94"/>
  <c r="B74" i="94"/>
  <c r="J73" i="94"/>
  <c r="B73" i="94"/>
  <c r="J72" i="94"/>
  <c r="B72" i="94"/>
  <c r="J71" i="94"/>
  <c r="B71" i="94"/>
  <c r="J70" i="94"/>
  <c r="B70" i="94"/>
  <c r="J69" i="94"/>
  <c r="B69" i="94"/>
  <c r="J68" i="94"/>
  <c r="B68" i="94"/>
  <c r="J67" i="94"/>
  <c r="B67" i="94"/>
  <c r="J66" i="94"/>
  <c r="B66" i="94"/>
  <c r="J65" i="94"/>
  <c r="B65" i="94"/>
  <c r="J64" i="94"/>
  <c r="B64" i="94"/>
  <c r="J63" i="94"/>
  <c r="B63" i="94"/>
  <c r="J62" i="94"/>
  <c r="B62" i="94"/>
  <c r="J61" i="94"/>
  <c r="B61" i="94"/>
  <c r="J60" i="94"/>
  <c r="B60" i="94"/>
  <c r="J59" i="94"/>
  <c r="B59" i="94"/>
  <c r="J58" i="94"/>
  <c r="B58" i="94"/>
  <c r="J57" i="94"/>
  <c r="B57" i="94"/>
  <c r="J56" i="94"/>
  <c r="B56" i="94"/>
  <c r="J55" i="94"/>
  <c r="B55" i="94"/>
  <c r="J54" i="94"/>
  <c r="B54" i="94"/>
  <c r="J53" i="94"/>
  <c r="B53" i="94"/>
  <c r="J52" i="94"/>
  <c r="B52" i="94"/>
  <c r="J51" i="94"/>
  <c r="B51" i="94"/>
  <c r="J50" i="94"/>
  <c r="B50" i="94"/>
  <c r="J49" i="94"/>
  <c r="B49" i="94"/>
  <c r="J48" i="94"/>
  <c r="B48" i="94"/>
  <c r="J47" i="94"/>
  <c r="B47" i="94"/>
  <c r="J46" i="94"/>
  <c r="B46" i="94"/>
  <c r="J45" i="94"/>
  <c r="B45" i="94"/>
  <c r="J44" i="94"/>
  <c r="B44" i="94"/>
  <c r="J43" i="94"/>
  <c r="B43" i="94"/>
  <c r="J42" i="94"/>
  <c r="B42" i="94"/>
  <c r="J41" i="94"/>
  <c r="B41" i="94"/>
  <c r="J40" i="94"/>
  <c r="B40" i="94"/>
  <c r="J39" i="94"/>
  <c r="B39" i="94"/>
  <c r="J38" i="94"/>
  <c r="B38" i="94"/>
  <c r="J37" i="94"/>
  <c r="B37" i="94"/>
  <c r="J36" i="94"/>
  <c r="B36" i="94"/>
  <c r="J35" i="94"/>
  <c r="B35" i="94"/>
  <c r="J34" i="94"/>
  <c r="B34" i="94"/>
  <c r="J33" i="94"/>
  <c r="B33" i="94"/>
  <c r="J32" i="94"/>
  <c r="B32" i="94"/>
  <c r="J31" i="94"/>
  <c r="B31" i="94"/>
  <c r="J30" i="94"/>
  <c r="B30" i="94"/>
  <c r="J29" i="94"/>
  <c r="B29" i="94"/>
  <c r="J28" i="94"/>
  <c r="B28" i="94"/>
  <c r="J27" i="94"/>
  <c r="B27" i="94"/>
  <c r="J26" i="94"/>
  <c r="B26" i="94"/>
  <c r="J25" i="94"/>
  <c r="B25" i="94"/>
  <c r="J24" i="94"/>
  <c r="B24" i="94"/>
  <c r="J23" i="94"/>
  <c r="B23" i="94"/>
  <c r="J22" i="94"/>
  <c r="B22" i="94"/>
  <c r="J21" i="94"/>
  <c r="B21" i="94"/>
  <c r="J20" i="94"/>
  <c r="B20" i="94"/>
  <c r="J19" i="94"/>
  <c r="B19" i="94"/>
  <c r="J18" i="94"/>
  <c r="B18" i="94"/>
  <c r="J17" i="94"/>
  <c r="B17" i="94"/>
  <c r="J16" i="94"/>
  <c r="B16" i="94"/>
  <c r="J15" i="94"/>
  <c r="B15" i="94"/>
  <c r="J14" i="94"/>
  <c r="B14" i="94"/>
  <c r="J13" i="94"/>
  <c r="B13" i="94"/>
  <c r="J12" i="94"/>
  <c r="B12" i="94"/>
  <c r="J11" i="94"/>
  <c r="B11" i="94"/>
  <c r="J10" i="94"/>
  <c r="B10" i="94"/>
  <c r="J9" i="94"/>
  <c r="B9" i="94"/>
  <c r="J8" i="94"/>
  <c r="B8" i="94"/>
  <c r="B7" i="94"/>
  <c r="B6" i="94"/>
  <c r="B5" i="94"/>
  <c r="B4" i="94"/>
  <c r="B3" i="94"/>
  <c r="G4" i="85"/>
  <c r="G5" i="85"/>
  <c r="G6" i="85"/>
  <c r="I6" i="85" s="1"/>
  <c r="G3" i="85"/>
  <c r="G9" i="85"/>
  <c r="G8" i="85"/>
  <c r="G10" i="85"/>
  <c r="G11" i="85"/>
  <c r="G12" i="85"/>
  <c r="G7" i="85"/>
  <c r="G13" i="85"/>
  <c r="G14" i="85"/>
  <c r="I14" i="85" s="1"/>
  <c r="G15" i="85"/>
  <c r="I15" i="85" s="1"/>
  <c r="G16" i="85"/>
  <c r="I16" i="85" s="1"/>
  <c r="G17" i="85"/>
  <c r="I17" i="85" s="1"/>
  <c r="G18" i="85"/>
  <c r="G19" i="85"/>
  <c r="G20" i="85"/>
  <c r="G21" i="85"/>
  <c r="G22" i="85"/>
  <c r="G23" i="85"/>
  <c r="G24" i="85"/>
  <c r="G25" i="85"/>
  <c r="G26" i="85"/>
  <c r="G27" i="85"/>
  <c r="G28" i="85"/>
  <c r="G29" i="85"/>
  <c r="G30" i="85"/>
  <c r="G31" i="85"/>
  <c r="G32" i="85"/>
  <c r="G33" i="85"/>
  <c r="G34" i="85"/>
  <c r="G35" i="85"/>
  <c r="G36" i="85"/>
  <c r="G37" i="85"/>
  <c r="G38" i="85"/>
  <c r="G39" i="85"/>
  <c r="G40" i="85"/>
  <c r="G41" i="85"/>
  <c r="G42" i="85"/>
  <c r="G43" i="85"/>
  <c r="G44" i="85"/>
  <c r="G45" i="85"/>
  <c r="G46" i="85"/>
  <c r="G47" i="85"/>
  <c r="G48" i="85"/>
  <c r="G49" i="85"/>
  <c r="G50" i="85"/>
  <c r="G51" i="85"/>
  <c r="G52" i="85"/>
  <c r="G53" i="85"/>
  <c r="G54" i="85"/>
  <c r="G55" i="85"/>
  <c r="G56" i="85"/>
  <c r="G57" i="85"/>
  <c r="G58" i="85"/>
  <c r="G59" i="85"/>
  <c r="G60" i="85"/>
  <c r="G61" i="85"/>
  <c r="G62" i="85"/>
  <c r="G63" i="85"/>
  <c r="G64" i="85"/>
  <c r="G65" i="85"/>
  <c r="G66" i="85"/>
  <c r="G67" i="85"/>
  <c r="G68" i="85"/>
  <c r="G69" i="85"/>
  <c r="G70" i="85"/>
  <c r="G71" i="85"/>
  <c r="G72" i="85"/>
  <c r="G73" i="85"/>
  <c r="G74" i="85"/>
  <c r="G75" i="85"/>
  <c r="G76" i="85"/>
  <c r="G77" i="85"/>
  <c r="G78" i="85"/>
  <c r="G79" i="85"/>
  <c r="G80" i="85"/>
  <c r="G81" i="85"/>
  <c r="G82" i="85"/>
  <c r="G83" i="85"/>
  <c r="G84" i="85"/>
  <c r="G85" i="85"/>
  <c r="G86" i="85"/>
  <c r="G87" i="85"/>
  <c r="G88" i="85"/>
  <c r="G89" i="85"/>
  <c r="G90" i="85"/>
  <c r="G91" i="85"/>
  <c r="G92" i="85"/>
  <c r="G93" i="85"/>
  <c r="G94" i="85"/>
  <c r="G95" i="85"/>
  <c r="G96" i="85"/>
  <c r="G97" i="85"/>
  <c r="G98" i="85"/>
  <c r="G99" i="85"/>
  <c r="G100" i="85"/>
  <c r="G101" i="85"/>
  <c r="G102" i="85"/>
  <c r="G103" i="85"/>
  <c r="G104" i="85"/>
  <c r="G105" i="85"/>
  <c r="G106" i="85"/>
  <c r="G107" i="85"/>
  <c r="G108" i="85"/>
  <c r="G109" i="85"/>
  <c r="G110" i="85"/>
  <c r="G111" i="85"/>
  <c r="G112" i="85"/>
  <c r="G113" i="85"/>
  <c r="G114" i="85"/>
  <c r="G115" i="85"/>
  <c r="G116" i="85"/>
  <c r="I18" i="85"/>
  <c r="I19" i="85"/>
  <c r="I20" i="85"/>
  <c r="I21" i="85"/>
  <c r="I22" i="85"/>
  <c r="I23" i="85"/>
  <c r="I24" i="85"/>
  <c r="I25" i="85"/>
  <c r="I26" i="85"/>
  <c r="I27" i="85"/>
  <c r="I28" i="85"/>
  <c r="I29" i="85"/>
  <c r="I30" i="85"/>
  <c r="I31" i="85"/>
  <c r="I32" i="85"/>
  <c r="I33" i="85"/>
  <c r="I34" i="85"/>
  <c r="I35" i="85"/>
  <c r="I36" i="85"/>
  <c r="I37" i="85"/>
  <c r="I38" i="85"/>
  <c r="I39" i="85"/>
  <c r="I40" i="85"/>
  <c r="I41" i="85"/>
  <c r="I42" i="85"/>
  <c r="I43" i="85"/>
  <c r="I44" i="85"/>
  <c r="I45" i="85"/>
  <c r="I46" i="85"/>
  <c r="I47" i="85"/>
  <c r="I48" i="85"/>
  <c r="I49" i="85"/>
  <c r="I50" i="85"/>
  <c r="I51" i="85"/>
  <c r="I52" i="85"/>
  <c r="I53" i="85"/>
  <c r="I54" i="85"/>
  <c r="I55" i="85"/>
  <c r="I56" i="85"/>
  <c r="I57" i="85"/>
  <c r="I58" i="85"/>
  <c r="I59" i="85"/>
  <c r="I60" i="85"/>
  <c r="I61" i="85"/>
  <c r="I62" i="85"/>
  <c r="I63" i="85"/>
  <c r="I64" i="85"/>
  <c r="I65" i="85"/>
  <c r="I66" i="85"/>
  <c r="I67" i="85"/>
  <c r="I68" i="85"/>
  <c r="I69" i="85"/>
  <c r="I70" i="85"/>
  <c r="I71" i="85"/>
  <c r="I72" i="85"/>
  <c r="I73" i="85"/>
  <c r="I74" i="85"/>
  <c r="I75" i="85"/>
  <c r="I76" i="85"/>
  <c r="I77" i="85"/>
  <c r="I78" i="85"/>
  <c r="I79" i="85"/>
  <c r="I80" i="85"/>
  <c r="I81" i="85"/>
  <c r="I82" i="85"/>
  <c r="I83" i="85"/>
  <c r="I84" i="85"/>
  <c r="I85" i="85"/>
  <c r="I86" i="85"/>
  <c r="I87" i="85"/>
  <c r="I88" i="85"/>
  <c r="I89" i="85"/>
  <c r="I90" i="85"/>
  <c r="I91" i="85"/>
  <c r="I92" i="85"/>
  <c r="I93" i="85"/>
  <c r="I94" i="85"/>
  <c r="I95" i="85"/>
  <c r="I96" i="85"/>
  <c r="I97" i="85"/>
  <c r="I98" i="85"/>
  <c r="I99" i="85"/>
  <c r="I100" i="85"/>
  <c r="I101" i="85"/>
  <c r="I102" i="85"/>
  <c r="I103" i="85"/>
  <c r="I104" i="85"/>
  <c r="I105" i="85"/>
  <c r="I106" i="85"/>
  <c r="I107" i="85"/>
  <c r="I108" i="85"/>
  <c r="I109" i="85"/>
  <c r="I110" i="85"/>
  <c r="I111" i="85"/>
  <c r="I112" i="85"/>
  <c r="I113" i="85"/>
  <c r="I114" i="85"/>
  <c r="I115" i="85"/>
  <c r="I116" i="85"/>
  <c r="E8" i="82"/>
  <c r="E10" i="82"/>
  <c r="E9" i="82"/>
  <c r="E7" i="82"/>
  <c r="E3" i="82"/>
  <c r="E5" i="82"/>
  <c r="E6" i="82"/>
  <c r="E11" i="82"/>
  <c r="E12" i="82"/>
  <c r="E13" i="82"/>
  <c r="E14" i="82"/>
  <c r="E15" i="82"/>
  <c r="I13" i="85"/>
  <c r="J52" i="85"/>
  <c r="F117" i="85"/>
  <c r="J116" i="85"/>
  <c r="B116" i="85"/>
  <c r="J115" i="85"/>
  <c r="B115" i="85"/>
  <c r="J114" i="85"/>
  <c r="B114" i="85"/>
  <c r="J113" i="85"/>
  <c r="B113" i="85"/>
  <c r="J112" i="85"/>
  <c r="B112" i="85"/>
  <c r="J111" i="85"/>
  <c r="B111" i="85"/>
  <c r="J110" i="85"/>
  <c r="B110" i="85"/>
  <c r="J109" i="85"/>
  <c r="B109" i="85"/>
  <c r="J108" i="85"/>
  <c r="B108" i="85"/>
  <c r="J107" i="85"/>
  <c r="B107" i="85"/>
  <c r="J106" i="85"/>
  <c r="B106" i="85"/>
  <c r="J105" i="85"/>
  <c r="B105" i="85"/>
  <c r="J104" i="85"/>
  <c r="B104" i="85"/>
  <c r="J103" i="85"/>
  <c r="B103" i="85"/>
  <c r="J102" i="85"/>
  <c r="B102" i="85"/>
  <c r="J101" i="85"/>
  <c r="B101" i="85"/>
  <c r="J100" i="85"/>
  <c r="B100" i="85"/>
  <c r="J99" i="85"/>
  <c r="B99" i="85"/>
  <c r="J98" i="85"/>
  <c r="B98" i="85"/>
  <c r="J97" i="85"/>
  <c r="B97" i="85"/>
  <c r="J96" i="85"/>
  <c r="B96" i="85"/>
  <c r="B95" i="85"/>
  <c r="B94" i="85"/>
  <c r="B93" i="85"/>
  <c r="B92" i="85"/>
  <c r="B91" i="85"/>
  <c r="B90" i="85"/>
  <c r="B89" i="85"/>
  <c r="B88" i="85"/>
  <c r="B87" i="85"/>
  <c r="B86" i="85"/>
  <c r="B85" i="85"/>
  <c r="B84" i="85"/>
  <c r="B83" i="85"/>
  <c r="B82" i="85"/>
  <c r="B81" i="85"/>
  <c r="B80" i="85"/>
  <c r="B79" i="85"/>
  <c r="B78" i="85"/>
  <c r="B77" i="85"/>
  <c r="B76" i="85"/>
  <c r="B75" i="85"/>
  <c r="B74" i="85"/>
  <c r="B73" i="85"/>
  <c r="B72" i="85"/>
  <c r="B71" i="85"/>
  <c r="B70" i="85"/>
  <c r="B69" i="85"/>
  <c r="B68" i="85"/>
  <c r="B67" i="85"/>
  <c r="B66" i="85"/>
  <c r="B65" i="85"/>
  <c r="B64" i="85"/>
  <c r="B63" i="85"/>
  <c r="B62" i="85"/>
  <c r="B61" i="85"/>
  <c r="B60" i="85"/>
  <c r="B59" i="85"/>
  <c r="B58" i="85"/>
  <c r="B57" i="85"/>
  <c r="B56" i="85"/>
  <c r="B55" i="85"/>
  <c r="B54" i="85"/>
  <c r="B53" i="85"/>
  <c r="B52" i="85"/>
  <c r="B51" i="85"/>
  <c r="B50" i="85"/>
  <c r="B49" i="85"/>
  <c r="B48" i="85"/>
  <c r="B47" i="85"/>
  <c r="B46" i="85"/>
  <c r="B45" i="85"/>
  <c r="B44" i="85"/>
  <c r="B43" i="85"/>
  <c r="B42" i="85"/>
  <c r="J41" i="85"/>
  <c r="B41" i="85"/>
  <c r="B40" i="85"/>
  <c r="B39" i="85"/>
  <c r="B38" i="85"/>
  <c r="B37" i="85"/>
  <c r="B36" i="85"/>
  <c r="B35" i="85"/>
  <c r="B34" i="85"/>
  <c r="B33" i="85"/>
  <c r="B32" i="85"/>
  <c r="B31" i="85"/>
  <c r="B30" i="85"/>
  <c r="B29" i="85"/>
  <c r="B28" i="85"/>
  <c r="B27" i="85"/>
  <c r="B26" i="85"/>
  <c r="B25" i="85"/>
  <c r="B24" i="85"/>
  <c r="B23" i="85"/>
  <c r="B22" i="85"/>
  <c r="B21" i="85"/>
  <c r="B20" i="85"/>
  <c r="B19" i="85"/>
  <c r="B18" i="85"/>
  <c r="B17" i="85"/>
  <c r="B16" i="85"/>
  <c r="B15" i="85"/>
  <c r="B14" i="85"/>
  <c r="B13" i="85"/>
  <c r="B7" i="85"/>
  <c r="B12" i="85"/>
  <c r="B11" i="85"/>
  <c r="B10" i="85"/>
  <c r="B8" i="85"/>
  <c r="B9" i="85"/>
  <c r="B3" i="85"/>
  <c r="B6" i="85"/>
  <c r="B5" i="85"/>
  <c r="B4" i="85"/>
  <c r="F112" i="83"/>
  <c r="I108" i="83"/>
  <c r="I110" i="83"/>
  <c r="I111" i="83"/>
  <c r="H111" i="83"/>
  <c r="H110" i="83"/>
  <c r="G111" i="83"/>
  <c r="G110" i="83"/>
  <c r="G109" i="83"/>
  <c r="H109" i="83" s="1"/>
  <c r="G108" i="83"/>
  <c r="H108" i="83" s="1"/>
  <c r="I109" i="83" s="1"/>
  <c r="G107" i="83"/>
  <c r="H107" i="83" s="1"/>
  <c r="G106" i="83"/>
  <c r="H106" i="83" s="1"/>
  <c r="G105" i="83"/>
  <c r="H105" i="83" s="1"/>
  <c r="G48" i="83"/>
  <c r="H48" i="83" s="1"/>
  <c r="B111" i="83"/>
  <c r="B110" i="83"/>
  <c r="B109" i="83"/>
  <c r="B108" i="83"/>
  <c r="B107" i="83"/>
  <c r="B106" i="83"/>
  <c r="B105" i="83"/>
  <c r="B48" i="83"/>
  <c r="B16" i="83"/>
  <c r="B93" i="83"/>
  <c r="B83" i="83"/>
  <c r="B78" i="83"/>
  <c r="B13" i="83"/>
  <c r="B36" i="83"/>
  <c r="B85" i="83"/>
  <c r="B89" i="83"/>
  <c r="B56" i="83"/>
  <c r="B55" i="83"/>
  <c r="B71" i="83"/>
  <c r="B33" i="83"/>
  <c r="B23" i="83"/>
  <c r="B57" i="83"/>
  <c r="B19" i="83"/>
  <c r="B86" i="83"/>
  <c r="B60" i="83"/>
  <c r="B47" i="83"/>
  <c r="B49" i="83"/>
  <c r="B95" i="83"/>
  <c r="B94" i="83"/>
  <c r="B29" i="83"/>
  <c r="B45" i="83"/>
  <c r="B14" i="83"/>
  <c r="B31" i="83"/>
  <c r="B80" i="83"/>
  <c r="B82" i="83"/>
  <c r="B81" i="83"/>
  <c r="B63" i="83"/>
  <c r="B62" i="83"/>
  <c r="B42" i="83"/>
  <c r="B32" i="83"/>
  <c r="B11" i="83"/>
  <c r="B12" i="83"/>
  <c r="B44" i="83"/>
  <c r="B43" i="83"/>
  <c r="B66" i="83"/>
  <c r="B35" i="83"/>
  <c r="B84" i="83"/>
  <c r="B50" i="83"/>
  <c r="B92" i="83"/>
  <c r="B91" i="83"/>
  <c r="B65" i="83"/>
  <c r="B10" i="83"/>
  <c r="B20" i="83"/>
  <c r="B69" i="83"/>
  <c r="B40" i="83"/>
  <c r="B61" i="83"/>
  <c r="B8" i="83"/>
  <c r="B98" i="83"/>
  <c r="B77" i="83"/>
  <c r="B90" i="83"/>
  <c r="B97" i="83"/>
  <c r="B6" i="83"/>
  <c r="B73" i="83"/>
  <c r="B39" i="83"/>
  <c r="B79" i="83"/>
  <c r="B70" i="83"/>
  <c r="B15" i="83"/>
  <c r="B9" i="83"/>
  <c r="B37" i="83"/>
  <c r="B76" i="83"/>
  <c r="B72" i="83"/>
  <c r="B64" i="83"/>
  <c r="B34" i="83"/>
  <c r="B96" i="83"/>
  <c r="B54" i="83"/>
  <c r="B22" i="83"/>
  <c r="B7" i="83"/>
  <c r="B41" i="83"/>
  <c r="B21" i="83"/>
  <c r="B38" i="83"/>
  <c r="B87" i="83"/>
  <c r="B88" i="83"/>
  <c r="B24" i="83"/>
  <c r="B51" i="83"/>
  <c r="B52" i="83"/>
  <c r="B74" i="83"/>
  <c r="B75" i="83"/>
  <c r="B17" i="83"/>
  <c r="B5" i="83"/>
  <c r="B58" i="83"/>
  <c r="B53" i="83"/>
  <c r="B4" i="83"/>
  <c r="B3" i="83"/>
  <c r="B30" i="83"/>
  <c r="B68" i="83"/>
  <c r="B67" i="83"/>
  <c r="B99" i="83"/>
  <c r="B27" i="83"/>
  <c r="B28" i="83"/>
  <c r="B46" i="83"/>
  <c r="B25" i="83"/>
  <c r="B26" i="83"/>
  <c r="B100" i="83"/>
  <c r="B101" i="83"/>
  <c r="B102" i="83"/>
  <c r="B103" i="83"/>
  <c r="B104" i="83"/>
  <c r="B59" i="83"/>
  <c r="G16" i="83"/>
  <c r="H16" i="83" s="1"/>
  <c r="G93" i="83"/>
  <c r="H93" i="83" s="1"/>
  <c r="G78" i="83"/>
  <c r="H78" i="83" s="1"/>
  <c r="G13" i="83"/>
  <c r="H13" i="83" s="1"/>
  <c r="G36" i="83"/>
  <c r="H36" i="83" s="1"/>
  <c r="G89" i="83"/>
  <c r="H89" i="83" s="1"/>
  <c r="G56" i="83"/>
  <c r="H56" i="83" s="1"/>
  <c r="G55" i="83"/>
  <c r="H55" i="83" s="1"/>
  <c r="G71" i="83"/>
  <c r="H71" i="83" s="1"/>
  <c r="G33" i="83"/>
  <c r="H33" i="83" s="1"/>
  <c r="G23" i="83"/>
  <c r="H23" i="83" s="1"/>
  <c r="G86" i="83"/>
  <c r="H86" i="83" s="1"/>
  <c r="G60" i="83"/>
  <c r="H60" i="83" s="1"/>
  <c r="G47" i="83"/>
  <c r="H47" i="83" s="1"/>
  <c r="G49" i="83"/>
  <c r="H49" i="83" s="1"/>
  <c r="G95" i="83"/>
  <c r="H95" i="83" s="1"/>
  <c r="G94" i="83"/>
  <c r="H94" i="83" s="1"/>
  <c r="G45" i="83"/>
  <c r="H45" i="83" s="1"/>
  <c r="G14" i="83"/>
  <c r="H14" i="83" s="1"/>
  <c r="G31" i="83"/>
  <c r="H31" i="83" s="1"/>
  <c r="G80" i="83"/>
  <c r="H80" i="83" s="1"/>
  <c r="G81" i="83"/>
  <c r="H81" i="83" s="1"/>
  <c r="G63" i="83"/>
  <c r="H63" i="83" s="1"/>
  <c r="G62" i="83"/>
  <c r="H62" i="83" s="1"/>
  <c r="G42" i="83"/>
  <c r="H42" i="83" s="1"/>
  <c r="G32" i="83"/>
  <c r="H32" i="83" s="1"/>
  <c r="G11" i="83"/>
  <c r="H11" i="83" s="1"/>
  <c r="G12" i="83"/>
  <c r="H12" i="83" s="1"/>
  <c r="G44" i="83"/>
  <c r="H44" i="83" s="1"/>
  <c r="G43" i="83"/>
  <c r="H43" i="83" s="1"/>
  <c r="G84" i="83"/>
  <c r="H84" i="83" s="1"/>
  <c r="G50" i="83"/>
  <c r="H50" i="83" s="1"/>
  <c r="G91" i="83"/>
  <c r="H91" i="83" s="1"/>
  <c r="G20" i="83"/>
  <c r="H20" i="83" s="1"/>
  <c r="G69" i="83"/>
  <c r="H69" i="83" s="1"/>
  <c r="G40" i="83"/>
  <c r="H40" i="83" s="1"/>
  <c r="G8" i="83"/>
  <c r="H8" i="83" s="1"/>
  <c r="G98" i="83"/>
  <c r="H98" i="83" s="1"/>
  <c r="G77" i="83"/>
  <c r="H77" i="83" s="1"/>
  <c r="G90" i="83"/>
  <c r="H90" i="83" s="1"/>
  <c r="G97" i="83"/>
  <c r="H97" i="83" s="1"/>
  <c r="G6" i="83"/>
  <c r="H6" i="83" s="1"/>
  <c r="G39" i="83"/>
  <c r="H39" i="83" s="1"/>
  <c r="G79" i="83"/>
  <c r="H79" i="83" s="1"/>
  <c r="G70" i="83"/>
  <c r="H70" i="83" s="1"/>
  <c r="G15" i="83"/>
  <c r="H15" i="83" s="1"/>
  <c r="G9" i="83"/>
  <c r="H9" i="83" s="1"/>
  <c r="G37" i="83"/>
  <c r="H37" i="83" s="1"/>
  <c r="G72" i="83"/>
  <c r="H72" i="83" s="1"/>
  <c r="G64" i="83"/>
  <c r="H64" i="83" s="1"/>
  <c r="G34" i="83"/>
  <c r="H34" i="83" s="1"/>
  <c r="G96" i="83"/>
  <c r="H96" i="83" s="1"/>
  <c r="G54" i="83"/>
  <c r="H54" i="83" s="1"/>
  <c r="G7" i="83"/>
  <c r="H7" i="83" s="1"/>
  <c r="G41" i="83"/>
  <c r="H41" i="83" s="1"/>
  <c r="G21" i="83"/>
  <c r="H21" i="83" s="1"/>
  <c r="G87" i="83"/>
  <c r="H87" i="83" s="1"/>
  <c r="G88" i="83"/>
  <c r="H88" i="83" s="1"/>
  <c r="G24" i="83"/>
  <c r="H24" i="83" s="1"/>
  <c r="G51" i="83"/>
  <c r="H51" i="83" s="1"/>
  <c r="G52" i="83"/>
  <c r="H52" i="83" s="1"/>
  <c r="G74" i="83"/>
  <c r="H74" i="83" s="1"/>
  <c r="G75" i="83"/>
  <c r="H75" i="83" s="1"/>
  <c r="G17" i="83"/>
  <c r="H17" i="83" s="1"/>
  <c r="G53" i="83"/>
  <c r="H53" i="83" s="1"/>
  <c r="G4" i="83"/>
  <c r="H4" i="83" s="1"/>
  <c r="G3" i="83"/>
  <c r="H3" i="83" s="1"/>
  <c r="G68" i="83"/>
  <c r="H68" i="83" s="1"/>
  <c r="G99" i="83"/>
  <c r="H99" i="83" s="1"/>
  <c r="G28" i="83"/>
  <c r="H28" i="83" s="1"/>
  <c r="G46" i="83"/>
  <c r="H46" i="83" s="1"/>
  <c r="G25" i="83"/>
  <c r="H25" i="83" s="1"/>
  <c r="G26" i="83"/>
  <c r="H26" i="83" s="1"/>
  <c r="G101" i="83"/>
  <c r="H101" i="83" s="1"/>
  <c r="G102" i="83"/>
  <c r="H102" i="83" s="1"/>
  <c r="G103" i="83"/>
  <c r="H103" i="83" s="1"/>
  <c r="G104" i="83"/>
  <c r="H104" i="83" s="1"/>
  <c r="G83" i="83"/>
  <c r="H83" i="83" s="1"/>
  <c r="G85" i="83"/>
  <c r="H85" i="83" s="1"/>
  <c r="G57" i="83"/>
  <c r="H57" i="83" s="1"/>
  <c r="G19" i="83"/>
  <c r="H19" i="83" s="1"/>
  <c r="G29" i="83"/>
  <c r="H29" i="83" s="1"/>
  <c r="G82" i="83"/>
  <c r="H82" i="83" s="1"/>
  <c r="G66" i="83"/>
  <c r="H66" i="83" s="1"/>
  <c r="G35" i="83"/>
  <c r="H35" i="83" s="1"/>
  <c r="G92" i="83"/>
  <c r="H92" i="83" s="1"/>
  <c r="G65" i="83"/>
  <c r="H65" i="83" s="1"/>
  <c r="G10" i="83"/>
  <c r="H10" i="83" s="1"/>
  <c r="G61" i="83"/>
  <c r="H61" i="83" s="1"/>
  <c r="G73" i="83"/>
  <c r="H73" i="83" s="1"/>
  <c r="G76" i="83"/>
  <c r="H76" i="83" s="1"/>
  <c r="G22" i="83"/>
  <c r="H22" i="83" s="1"/>
  <c r="G38" i="83"/>
  <c r="H38" i="83" s="1"/>
  <c r="G5" i="83"/>
  <c r="H5" i="83" s="1"/>
  <c r="G58" i="83"/>
  <c r="H58" i="83" s="1"/>
  <c r="G30" i="83"/>
  <c r="H30" i="83" s="1"/>
  <c r="G67" i="83"/>
  <c r="H67" i="83" s="1"/>
  <c r="G27" i="83"/>
  <c r="H27" i="83" s="1"/>
  <c r="G100" i="83"/>
  <c r="H100" i="83" s="1"/>
  <c r="G59" i="83"/>
  <c r="H59" i="83" s="1"/>
  <c r="G18" i="83"/>
  <c r="H18" i="83" s="1"/>
  <c r="E4" i="82"/>
  <c r="B3" i="82"/>
  <c r="B18" i="83"/>
  <c r="I106" i="83" l="1"/>
  <c r="I105" i="83"/>
  <c r="I107" i="83"/>
  <c r="I5" i="83"/>
  <c r="I65" i="83"/>
  <c r="I57" i="83"/>
  <c r="I66" i="83"/>
  <c r="I32" i="83"/>
  <c r="I3" i="107"/>
  <c r="I4" i="107"/>
  <c r="H112" i="107"/>
  <c r="I3" i="85"/>
  <c r="I11" i="85"/>
  <c r="I7" i="85"/>
  <c r="I12" i="85"/>
  <c r="I8" i="85"/>
  <c r="I9" i="85"/>
  <c r="I5" i="85"/>
  <c r="I4" i="85"/>
  <c r="J5" i="85" s="1"/>
  <c r="I98" i="96"/>
  <c r="J3" i="96"/>
  <c r="J7" i="85"/>
  <c r="I10" i="85"/>
  <c r="J5" i="94"/>
  <c r="J7" i="94"/>
  <c r="I98" i="94"/>
  <c r="J4" i="94"/>
  <c r="J6" i="94"/>
  <c r="J3" i="94"/>
  <c r="I59" i="83"/>
  <c r="J12" i="85"/>
  <c r="J9" i="85"/>
  <c r="J62" i="85"/>
  <c r="J14" i="85"/>
  <c r="J30" i="85"/>
  <c r="J70" i="85"/>
  <c r="J82" i="85"/>
  <c r="J83" i="85"/>
  <c r="J26" i="85"/>
  <c r="J66" i="85"/>
  <c r="J68" i="85"/>
  <c r="J67" i="85"/>
  <c r="J18" i="85"/>
  <c r="J46" i="85"/>
  <c r="J48" i="85"/>
  <c r="J44" i="85"/>
  <c r="J45" i="85"/>
  <c r="J47" i="85"/>
  <c r="J78" i="85"/>
  <c r="J76" i="85"/>
  <c r="J79" i="85"/>
  <c r="J77" i="85"/>
  <c r="J54" i="85"/>
  <c r="J20" i="85"/>
  <c r="J80" i="85"/>
  <c r="J81" i="85"/>
  <c r="J74" i="85"/>
  <c r="J75" i="85"/>
  <c r="J92" i="85"/>
  <c r="J90" i="85"/>
  <c r="J93" i="85"/>
  <c r="J91" i="85"/>
  <c r="J42" i="85"/>
  <c r="J43" i="85"/>
  <c r="J88" i="85"/>
  <c r="J86" i="85"/>
  <c r="J84" i="85"/>
  <c r="J89" i="85"/>
  <c r="J87" i="85"/>
  <c r="J85" i="85"/>
  <c r="J34" i="85"/>
  <c r="J50" i="85"/>
  <c r="J94" i="85"/>
  <c r="J95" i="85"/>
  <c r="J13" i="85"/>
  <c r="J21" i="85"/>
  <c r="J23" i="85"/>
  <c r="J31" i="85"/>
  <c r="J33" i="85"/>
  <c r="J37" i="85"/>
  <c r="J51" i="85"/>
  <c r="J57" i="85"/>
  <c r="J61" i="85"/>
  <c r="J65" i="85"/>
  <c r="J71" i="85"/>
  <c r="J73" i="85"/>
  <c r="J17" i="85"/>
  <c r="J27" i="85"/>
  <c r="J55" i="85"/>
  <c r="J63" i="85"/>
  <c r="J19" i="85"/>
  <c r="J25" i="85"/>
  <c r="J35" i="85"/>
  <c r="J49" i="85"/>
  <c r="J59" i="85"/>
  <c r="J69" i="85"/>
  <c r="J15" i="85"/>
  <c r="J29" i="85"/>
  <c r="J39" i="85"/>
  <c r="J53" i="85"/>
  <c r="J16" i="85"/>
  <c r="J22" i="85"/>
  <c r="J24" i="85"/>
  <c r="J28" i="85"/>
  <c r="J32" i="85"/>
  <c r="J36" i="85"/>
  <c r="J40" i="85"/>
  <c r="J56" i="85"/>
  <c r="J60" i="85"/>
  <c r="J64" i="85"/>
  <c r="J72" i="85"/>
  <c r="J38" i="85"/>
  <c r="J58" i="85"/>
  <c r="H112" i="83"/>
  <c r="I30" i="83"/>
  <c r="I48" i="83"/>
  <c r="I67" i="83"/>
  <c r="I83" i="83"/>
  <c r="I3" i="83"/>
  <c r="I92" i="83"/>
  <c r="I6" i="83"/>
  <c r="I56" i="83"/>
  <c r="I84" i="83"/>
  <c r="I100" i="83"/>
  <c r="I21" i="83"/>
  <c r="I74" i="83"/>
  <c r="I101" i="83"/>
  <c r="I72" i="83"/>
  <c r="I42" i="83"/>
  <c r="I26" i="83"/>
  <c r="I73" i="83"/>
  <c r="I45" i="83"/>
  <c r="I35" i="83"/>
  <c r="I61" i="83"/>
  <c r="I86" i="83"/>
  <c r="I16" i="83"/>
  <c r="I40" i="83"/>
  <c r="I58" i="83"/>
  <c r="I76" i="83"/>
  <c r="I69" i="83"/>
  <c r="I62" i="83"/>
  <c r="I29" i="83"/>
  <c r="I19" i="83"/>
  <c r="I25" i="83"/>
  <c r="I46" i="83"/>
  <c r="I4" i="83"/>
  <c r="I52" i="83"/>
  <c r="I7" i="83"/>
  <c r="I37" i="83"/>
  <c r="I97" i="83"/>
  <c r="I20" i="83"/>
  <c r="I63" i="83"/>
  <c r="I94" i="83"/>
  <c r="I85" i="83"/>
  <c r="I104" i="83"/>
  <c r="I28" i="83"/>
  <c r="I53" i="83"/>
  <c r="I51" i="83"/>
  <c r="I22" i="83"/>
  <c r="I9" i="83"/>
  <c r="I90" i="83"/>
  <c r="I10" i="83"/>
  <c r="I43" i="83"/>
  <c r="I81" i="83"/>
  <c r="I95" i="83"/>
  <c r="I23" i="83"/>
  <c r="I36" i="83"/>
  <c r="I89" i="83"/>
  <c r="I103" i="83"/>
  <c r="I27" i="83"/>
  <c r="I24" i="83"/>
  <c r="I54" i="83"/>
  <c r="I15" i="83"/>
  <c r="I77" i="83"/>
  <c r="I44" i="83"/>
  <c r="I82" i="83"/>
  <c r="I49" i="83"/>
  <c r="I33" i="83"/>
  <c r="I13" i="83"/>
  <c r="I18" i="83"/>
  <c r="I102" i="83"/>
  <c r="I99" i="83"/>
  <c r="I88" i="83"/>
  <c r="I96" i="83"/>
  <c r="I70" i="83"/>
  <c r="I98" i="83"/>
  <c r="I91" i="83"/>
  <c r="I12" i="83"/>
  <c r="I80" i="83"/>
  <c r="I47" i="83"/>
  <c r="I78" i="83"/>
  <c r="I17" i="83"/>
  <c r="I87" i="83"/>
  <c r="I34" i="83"/>
  <c r="I79" i="83"/>
  <c r="I8" i="83"/>
  <c r="I11" i="83"/>
  <c r="I31" i="83"/>
  <c r="I60" i="83"/>
  <c r="I71" i="83"/>
  <c r="I41" i="83"/>
  <c r="I68" i="83"/>
  <c r="I75" i="83"/>
  <c r="I38" i="83"/>
  <c r="I64" i="83"/>
  <c r="I39" i="83"/>
  <c r="I50" i="83"/>
  <c r="I14" i="83"/>
  <c r="I55" i="83"/>
  <c r="I93" i="83"/>
  <c r="J6" i="85" l="1"/>
  <c r="J11" i="85"/>
  <c r="J3" i="85"/>
  <c r="J10" i="85"/>
  <c r="J8" i="85"/>
  <c r="I117" i="85"/>
  <c r="J4" i="85"/>
</calcChain>
</file>

<file path=xl/sharedStrings.xml><?xml version="1.0" encoding="utf-8"?>
<sst xmlns="http://schemas.openxmlformats.org/spreadsheetml/2006/main" count="740" uniqueCount="81">
  <si>
    <t>ÖLÇÜSÜ</t>
  </si>
  <si>
    <t>ADET</t>
  </si>
  <si>
    <t>BİRİM FİYAT</t>
  </si>
  <si>
    <t>TUTAR</t>
  </si>
  <si>
    <t>ZARA</t>
  </si>
  <si>
    <t>ŞERMİN ÖZEL</t>
  </si>
  <si>
    <t>BAHRİYE ATICI</t>
  </si>
  <si>
    <t>NOSTALJİ</t>
  </si>
  <si>
    <t>NECLA AKTAŞ</t>
  </si>
  <si>
    <t>BİRSEN DEMİR</t>
  </si>
  <si>
    <t>NURGÜL KORKMAZ</t>
  </si>
  <si>
    <t>TÜRKAN ÜNAL</t>
  </si>
  <si>
    <t>YASEMİN TÜKENMEZ</t>
  </si>
  <si>
    <t>SAİDE GÜVEN</t>
  </si>
  <si>
    <t>TUĞBA TUNÇ</t>
  </si>
  <si>
    <t>ETİKET</t>
  </si>
  <si>
    <t>NURAY ERDEM</t>
  </si>
  <si>
    <t>GÜLCAN ÇELİKKAYA</t>
  </si>
  <si>
    <t>Adı Soyadı</t>
  </si>
  <si>
    <t>#</t>
  </si>
  <si>
    <t>Cins</t>
  </si>
  <si>
    <t>Ölçü</t>
  </si>
  <si>
    <t>NAGEHAN TOKDEMİR</t>
  </si>
  <si>
    <t>SELMA BOSTANCI</t>
  </si>
  <si>
    <t>NURCAN KARHAN</t>
  </si>
  <si>
    <t>EMİNE MAĞDEN</t>
  </si>
  <si>
    <t>ÜMRAN VURGUN</t>
  </si>
  <si>
    <t>CANSUN YELDEMEZ</t>
  </si>
  <si>
    <t>HATİCE BAYTOK</t>
  </si>
  <si>
    <t>HASİBE ORBAY</t>
  </si>
  <si>
    <t>SEVİLAY KAÇMAZ</t>
  </si>
  <si>
    <t>İLKNUR KAÇMAZ</t>
  </si>
  <si>
    <t>ŞİRİN ÖZTÜRK</t>
  </si>
  <si>
    <t>REYHAN YİĞİT</t>
  </si>
  <si>
    <t>HATİCE KANAT</t>
  </si>
  <si>
    <t>GÜNAY ORBAY</t>
  </si>
  <si>
    <t>HATİCE BİRCAN</t>
  </si>
  <si>
    <t>İSMAİL KAYMAK</t>
  </si>
  <si>
    <t>Birim Fiyatı</t>
  </si>
  <si>
    <t>Q160</t>
  </si>
  <si>
    <t>Q190</t>
  </si>
  <si>
    <t>Toplam</t>
  </si>
  <si>
    <t>Q200</t>
  </si>
  <si>
    <t>TAMİR</t>
  </si>
  <si>
    <t>Ödenecek Toplam</t>
  </si>
  <si>
    <t>AYŞEN ERTAŞ</t>
  </si>
  <si>
    <t>AYŞE DEVKÜR</t>
  </si>
  <si>
    <t>ŞADİYE GÜRÇEŞME</t>
  </si>
  <si>
    <t>EMİNE YILMAZ</t>
  </si>
  <si>
    <t>NAZİF KARATAŞ</t>
  </si>
  <si>
    <t>MADDER</t>
  </si>
  <si>
    <t>TOPLAM (m)</t>
  </si>
  <si>
    <t>Ürün Cinsi</t>
  </si>
  <si>
    <t>RAMAZAN UZUN</t>
  </si>
  <si>
    <t>GÜLAY KIZILKAYA</t>
  </si>
  <si>
    <t>Q120</t>
  </si>
  <si>
    <t>EL OVERLOĞU</t>
  </si>
  <si>
    <t>KARTELA</t>
  </si>
  <si>
    <t>En</t>
  </si>
  <si>
    <t>Boy</t>
  </si>
  <si>
    <t>EMİNE ÖZCAN</t>
  </si>
  <si>
    <t>EMİEN KAYMAK</t>
  </si>
  <si>
    <t>HALİME ŞAHİN</t>
  </si>
  <si>
    <t>KÜÇÜK ETİKET</t>
  </si>
  <si>
    <t>FATMA BAYTOK</t>
  </si>
  <si>
    <t>NURCAN BAYKA</t>
  </si>
  <si>
    <t>ZEYNEP MAMAK</t>
  </si>
  <si>
    <t>ZAİFE AKKURT</t>
  </si>
  <si>
    <t>ÇİĞDEM YİĞİTCE</t>
  </si>
  <si>
    <t>MÜNİSE ASLAN</t>
  </si>
  <si>
    <t>ZD</t>
  </si>
  <si>
    <t>ZELİHA AKARSU</t>
  </si>
  <si>
    <t>NURTEN ÇAKMAK</t>
  </si>
  <si>
    <t>KIYMET KAÇMAZ</t>
  </si>
  <si>
    <t>NERMİN BAŞARAN</t>
  </si>
  <si>
    <t>SELİME ŞAHİN</t>
  </si>
  <si>
    <t>Q130</t>
  </si>
  <si>
    <t>Q150</t>
  </si>
  <si>
    <t>Q140</t>
  </si>
  <si>
    <t>YASEMİN KAZAN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</si>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</sst>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1F]* #,##0.00_-;\-[$₺-41F]* #,##0.00_-;_-[$₺-41F]* &quot;-&quot;??_-;_-@_-"/>
    <numFmt numFmtId="165" formatCode="#,##0.00\ \₺"/>
  </numFmts>
  <fonts count="11" x14ac:knownFonts="1">
    <font>
      <sz val="11"/>
      <color theme="1"/>
      <name val="Calibri"/>
      <family val="2"/>
      <scheme val="minor"/>
    </font>
    <font>
      <b/>
      <i/>
      <sz val="9"/>
      <color theme="1"/>
      <name val="Calibri"/>
      <family val="2"/>
      <scheme val="minor"/>
    </font>
    <font>
      <sz val="8"/>
      <color theme="1"/>
      <name val="Calibri"/>
      <family val="2"/>
      <scheme val="minor"/>
    </font>
    <font>
      <b/>
      <sz val="8"/>
      <color theme="1"/>
      <name val="Calibri"/>
      <family val="2"/>
      <scheme val="minor"/>
    </font>
    <font>
      <b/>
      <sz val="8"/>
      <color theme="1"/>
      <name val="Calibri"/>
      <family val="2"/>
      <charset val="162"/>
      <scheme val="minor"/>
    </font>
    <font>
      <b/>
      <sz val="10"/>
      <color theme="1"/>
      <name val="Calibri"/>
      <family val="2"/>
      <charset val="162"/>
      <scheme val="minor"/>
    </font>
    <font>
      <b/>
      <sz val="7"/>
      <color theme="1"/>
      <name val="Calibri"/>
      <family val="2"/>
      <charset val="162"/>
      <scheme val="minor"/>
    </font>
    <font>
      <b/>
      <sz val="9"/>
      <color theme="1"/>
      <name val="Calibri"/>
      <family val="2"/>
      <scheme val="minor"/>
    </font>
    <font>
      <sz val="9"/>
      <color theme="1"/>
      <name val="Calibri"/>
      <family val="2"/>
      <scheme val="minor"/>
    </font>
    <font>
      <sz val="12"/>
      <color theme="1"/>
      <name val="Calibri"/>
      <family val="2"/>
      <scheme val="minor"/>
    </font>
    <font>
      <b/>
      <sz val="11"/>
      <color theme="1"/>
      <name val="Calibri"/>
      <family val="2"/>
      <charset val="162"/>
      <scheme val="minor"/>
    </font>
  </fonts>
  <fills count="2">
    <fill>
      <patternFill patternType="none"/>
    </fill>
    <fill>
      <patternFill patternType="gray125"/>
    </fill>
  </fills>
  <borders count="14">
    <border>
      <left/>
      <right/>
      <top/>
      <bottom/>
      <diagonal/>
    </border>
    <border>
      <left style="thin">
        <color rgb="FF0070C0"/>
      </left>
      <right style="thin">
        <color rgb="FF0070C0"/>
      </right>
      <top style="thin">
        <color rgb="FF0070C0"/>
      </top>
      <bottom style="thin">
        <color rgb="FF0070C0"/>
      </bottom>
      <diagonal/>
    </border>
    <border>
      <left/>
      <right style="thin">
        <color rgb="FF0070C0"/>
      </right>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diagonal/>
    </border>
    <border>
      <left style="thin">
        <color rgb="FF0070C0"/>
      </left>
      <right style="thin">
        <color rgb="FF0070C0"/>
      </right>
      <top style="thin">
        <color rgb="FF0070C0"/>
      </top>
      <bottom/>
      <diagonal/>
    </border>
    <border>
      <left style="thin">
        <color rgb="FF0070C0"/>
      </left>
      <right/>
      <top style="thin">
        <color rgb="FF0070C0"/>
      </top>
      <bottom/>
      <diagonal/>
    </border>
    <border>
      <left style="double">
        <color rgb="FF0070C0"/>
      </left>
      <right style="thin">
        <color rgb="FF0070C0"/>
      </right>
      <top style="double">
        <color rgb="FF0070C0"/>
      </top>
      <bottom style="double">
        <color rgb="FF0070C0"/>
      </bottom>
      <diagonal/>
    </border>
    <border>
      <left style="thin">
        <color rgb="FF0070C0"/>
      </left>
      <right style="thin">
        <color rgb="FF0070C0"/>
      </right>
      <top style="double">
        <color rgb="FF0070C0"/>
      </top>
      <bottom style="double">
        <color rgb="FF0070C0"/>
      </bottom>
      <diagonal/>
    </border>
    <border>
      <left style="thin">
        <color rgb="FF0070C0"/>
      </left>
      <right style="double">
        <color rgb="FF0070C0"/>
      </right>
      <top style="double">
        <color rgb="FF0070C0"/>
      </top>
      <bottom style="double">
        <color rgb="FF0070C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6">
    <xf numFmtId="0" fontId="0" fillId="0" borderId="0" xfId="0"/>
    <xf numFmtId="0" fontId="2" fillId="0" borderId="5" xfId="0" applyFont="1" applyBorder="1" applyAlignment="1">
      <alignment horizontal="center"/>
    </xf>
    <xf numFmtId="164" fontId="2" fillId="0" borderId="6" xfId="0" applyNumberFormat="1" applyFont="1" applyBorder="1" applyAlignment="1">
      <alignment horizontal="center"/>
    </xf>
    <xf numFmtId="0" fontId="2" fillId="0" borderId="0" xfId="0" applyFont="1"/>
    <xf numFmtId="0" fontId="0" fillId="0" borderId="0" xfId="0" applyAlignment="1">
      <alignment horizontal="right"/>
    </xf>
    <xf numFmtId="0" fontId="2" fillId="0" borderId="7" xfId="0" applyFont="1" applyBorder="1" applyAlignment="1">
      <alignment horizontal="center"/>
    </xf>
    <xf numFmtId="0" fontId="2" fillId="0" borderId="1" xfId="0" applyFont="1" applyBorder="1" applyAlignment="1" applyProtection="1">
      <alignment horizontal="left"/>
      <protection locked="0"/>
    </xf>
    <xf numFmtId="0" fontId="2" fillId="0" borderId="1" xfId="0" applyFont="1" applyBorder="1" applyAlignment="1" applyProtection="1">
      <alignment horizontal="center"/>
      <protection locked="0"/>
    </xf>
    <xf numFmtId="0" fontId="2" fillId="0" borderId="8" xfId="0" applyFont="1" applyBorder="1" applyAlignment="1" applyProtection="1">
      <alignment horizontal="left"/>
      <protection locked="0"/>
    </xf>
    <xf numFmtId="0" fontId="2" fillId="0" borderId="8" xfId="0" applyFont="1" applyBorder="1" applyAlignment="1" applyProtection="1">
      <alignment horizontal="center"/>
      <protection locked="0"/>
    </xf>
    <xf numFmtId="164" fontId="2" fillId="0" borderId="9" xfId="0" applyNumberFormat="1" applyFont="1" applyBorder="1" applyAlignment="1">
      <alignment horizontal="center"/>
    </xf>
    <xf numFmtId="0" fontId="2" fillId="0" borderId="2" xfId="0" applyFont="1" applyBorder="1" applyAlignment="1">
      <alignment horizontal="center"/>
    </xf>
    <xf numFmtId="0" fontId="2" fillId="0" borderId="3" xfId="0" applyFont="1" applyBorder="1" applyAlignment="1" applyProtection="1">
      <alignment horizontal="left"/>
      <protection locked="0"/>
    </xf>
    <xf numFmtId="0" fontId="2" fillId="0" borderId="3" xfId="0" applyFont="1" applyBorder="1" applyAlignment="1" applyProtection="1">
      <alignment horizontal="center"/>
      <protection locked="0"/>
    </xf>
    <xf numFmtId="164" fontId="2" fillId="0" borderId="4" xfId="0" applyNumberFormat="1" applyFont="1" applyBorder="1" applyAlignment="1">
      <alignment horizontal="center"/>
    </xf>
    <xf numFmtId="0" fontId="1" fillId="0" borderId="12" xfId="0" applyFont="1" applyBorder="1" applyAlignment="1">
      <alignment horizontal="left" vertical="center" wrapText="1"/>
    </xf>
    <xf numFmtId="0" fontId="2" fillId="0" borderId="10" xfId="0" applyFont="1" applyBorder="1" applyAlignment="1">
      <alignment horizontal="center"/>
    </xf>
    <xf numFmtId="0" fontId="2" fillId="0" borderId="11" xfId="0" applyFont="1" applyBorder="1" applyAlignment="1" applyProtection="1">
      <alignment horizontal="left"/>
      <protection locked="0"/>
    </xf>
    <xf numFmtId="0" fontId="2" fillId="0" borderId="11" xfId="0" applyFont="1" applyBorder="1" applyAlignment="1" applyProtection="1">
      <alignment horizontal="center"/>
      <protection locked="0"/>
    </xf>
    <xf numFmtId="0" fontId="7" fillId="0" borderId="10" xfId="0" applyFont="1" applyBorder="1" applyAlignment="1">
      <alignment horizontal="center" vertical="center" wrapText="1"/>
    </xf>
    <xf numFmtId="0" fontId="7" fillId="0" borderId="11" xfId="0" applyFont="1" applyBorder="1" applyAlignment="1">
      <alignment horizontal="left" vertical="center" wrapText="1"/>
    </xf>
    <xf numFmtId="0" fontId="7" fillId="0" borderId="11" xfId="0" applyFont="1" applyBorder="1" applyAlignment="1">
      <alignment horizontal="center" vertical="center" wrapText="1"/>
    </xf>
    <xf numFmtId="0" fontId="8" fillId="0" borderId="10" xfId="0" applyFont="1" applyBorder="1" applyAlignment="1">
      <alignment horizontal="center"/>
    </xf>
    <xf numFmtId="0" fontId="8" fillId="0" borderId="11" xfId="0" applyFont="1" applyBorder="1" applyAlignment="1" applyProtection="1">
      <alignment horizontal="left"/>
      <protection locked="0"/>
    </xf>
    <xf numFmtId="0" fontId="8" fillId="0" borderId="11" xfId="0" applyFont="1" applyBorder="1" applyAlignment="1" applyProtection="1">
      <alignment horizontal="center"/>
      <protection locked="0"/>
    </xf>
    <xf numFmtId="164" fontId="8" fillId="0" borderId="11" xfId="0" applyNumberFormat="1" applyFont="1" applyBorder="1" applyAlignment="1">
      <alignment horizontal="center"/>
    </xf>
    <xf numFmtId="164" fontId="8" fillId="0" borderId="12" xfId="0" applyNumberFormat="1" applyFont="1" applyBorder="1" applyAlignment="1">
      <alignment horizontal="center"/>
    </xf>
    <xf numFmtId="0" fontId="8" fillId="0" borderId="11" xfId="0" applyFont="1" applyBorder="1" applyAlignment="1">
      <alignment horizontal="center"/>
    </xf>
    <xf numFmtId="0" fontId="8" fillId="0" borderId="12" xfId="0" applyFont="1" applyBorder="1"/>
    <xf numFmtId="0" fontId="2" fillId="0" borderId="3" xfId="0" applyFont="1" applyBorder="1" applyAlignment="1">
      <alignment horizontal="center"/>
    </xf>
    <xf numFmtId="0" fontId="2" fillId="0" borderId="1" xfId="0" applyFont="1" applyBorder="1" applyAlignment="1">
      <alignment horizontal="center"/>
    </xf>
    <xf numFmtId="0" fontId="2" fillId="0" borderId="8" xfId="0" applyFont="1" applyBorder="1" applyAlignment="1">
      <alignment horizontal="center"/>
    </xf>
    <xf numFmtId="0" fontId="2" fillId="0" borderId="11" xfId="0" applyFont="1" applyBorder="1" applyAlignment="1" applyProtection="1">
      <alignment horizontal="left" indent="1"/>
      <protection locked="0"/>
    </xf>
    <xf numFmtId="0" fontId="2" fillId="0" borderId="3" xfId="0" applyFont="1" applyBorder="1" applyAlignment="1" applyProtection="1">
      <alignment horizontal="left" indent="1"/>
      <protection locked="0"/>
    </xf>
    <xf numFmtId="0" fontId="2" fillId="0" borderId="1" xfId="0" applyFont="1" applyBorder="1" applyAlignment="1" applyProtection="1">
      <alignment horizontal="left" indent="1"/>
      <protection locked="0"/>
    </xf>
    <xf numFmtId="0" fontId="2" fillId="0" borderId="8" xfId="0" applyFont="1" applyBorder="1" applyAlignment="1" applyProtection="1">
      <alignment horizontal="left" indent="1"/>
      <protection locked="0"/>
    </xf>
    <xf numFmtId="0" fontId="8" fillId="0" borderId="11" xfId="0" applyFont="1" applyBorder="1" applyAlignment="1" applyProtection="1">
      <alignment horizontal="left" indent="1"/>
      <protection locked="0"/>
    </xf>
    <xf numFmtId="0" fontId="0" fillId="0" borderId="0" xfId="0" applyAlignment="1" applyProtection="1">
      <alignment horizontal="right"/>
      <protection locked="0"/>
    </xf>
    <xf numFmtId="164" fontId="0" fillId="0" borderId="0" xfId="0" applyNumberFormat="1" applyProtection="1">
      <protection locked="0"/>
    </xf>
    <xf numFmtId="0" fontId="0" fillId="0" borderId="0" xfId="0" applyAlignment="1" applyProtection="1">
      <alignment horizontal="left" indent="1"/>
      <protection locked="0"/>
    </xf>
    <xf numFmtId="0" fontId="5" fillId="0" borderId="10" xfId="0" applyFont="1" applyBorder="1" applyAlignment="1" applyProtection="1">
      <alignment horizontal="center" vertical="center" wrapText="1"/>
      <protection locked="0"/>
    </xf>
    <xf numFmtId="0" fontId="5" fillId="0" borderId="11" xfId="0" applyFont="1" applyBorder="1" applyAlignment="1" applyProtection="1">
      <alignment horizontal="left" vertical="center" wrapText="1"/>
      <protection locked="0"/>
    </xf>
    <xf numFmtId="0" fontId="4" fillId="0" borderId="11" xfId="0" applyFont="1" applyBorder="1" applyAlignment="1" applyProtection="1">
      <alignment horizontal="left" vertical="center" wrapText="1"/>
      <protection locked="0"/>
    </xf>
    <xf numFmtId="0" fontId="6" fillId="0" borderId="11" xfId="0" applyFont="1" applyBorder="1" applyAlignment="1" applyProtection="1">
      <alignment horizontal="left" vertical="center" wrapText="1"/>
      <protection locked="0"/>
    </xf>
    <xf numFmtId="0" fontId="4" fillId="0" borderId="11" xfId="0" applyFont="1" applyBorder="1" applyAlignment="1" applyProtection="1">
      <alignment horizontal="center" vertical="center" wrapText="1"/>
      <protection locked="0"/>
    </xf>
    <xf numFmtId="164" fontId="2" fillId="0" borderId="11" xfId="0" applyNumberFormat="1" applyFont="1" applyBorder="1" applyAlignment="1">
      <alignment horizontal="center"/>
    </xf>
    <xf numFmtId="164" fontId="2" fillId="0" borderId="12" xfId="0" applyNumberFormat="1" applyFont="1" applyBorder="1" applyAlignment="1">
      <alignment horizontal="center"/>
    </xf>
    <xf numFmtId="0" fontId="3" fillId="0" borderId="11" xfId="0" applyFont="1" applyBorder="1" applyAlignment="1">
      <alignment horizontal="left" vertical="center" wrapText="1"/>
    </xf>
    <xf numFmtId="164" fontId="2" fillId="0" borderId="3" xfId="0" applyNumberFormat="1" applyFont="1" applyBorder="1" applyAlignment="1">
      <alignment horizontal="center"/>
    </xf>
    <xf numFmtId="164" fontId="2" fillId="0" borderId="1" xfId="0" applyNumberFormat="1" applyFont="1" applyBorder="1" applyAlignment="1">
      <alignment horizontal="center"/>
    </xf>
    <xf numFmtId="164" fontId="2" fillId="0" borderId="8" xfId="0" applyNumberFormat="1" applyFont="1" applyBorder="1" applyAlignment="1">
      <alignment horizontal="center"/>
    </xf>
    <xf numFmtId="0" fontId="0" fillId="0" borderId="12" xfId="0" applyBorder="1"/>
    <xf numFmtId="0" fontId="2" fillId="0" borderId="0" xfId="0" applyFont="1" applyProtection="1">
      <protection locked="0"/>
    </xf>
    <xf numFmtId="0" fontId="4" fillId="0" borderId="11" xfId="0" applyFont="1" applyBorder="1" applyAlignment="1">
      <alignment horizontal="left" vertical="center" wrapText="1"/>
    </xf>
    <xf numFmtId="0" fontId="7" fillId="0" borderId="11" xfId="0" applyFont="1" applyBorder="1" applyAlignment="1" applyProtection="1">
      <alignment horizontal="left" vertical="center" wrapText="1"/>
      <protection locked="0"/>
    </xf>
    <xf numFmtId="0" fontId="7" fillId="0" borderId="11" xfId="0" applyFont="1" applyBorder="1" applyAlignment="1" applyProtection="1">
      <alignment horizontal="center" vertical="center" wrapText="1"/>
      <protection locked="0"/>
    </xf>
    <xf numFmtId="0" fontId="9" fillId="0" borderId="0" xfId="0" applyFont="1"/>
    <xf numFmtId="0" fontId="9" fillId="0" borderId="0" xfId="0" applyFont="1" applyAlignment="1">
      <alignment horizontal="right"/>
    </xf>
    <xf numFmtId="0" fontId="10" fillId="0" borderId="0" xfId="0" applyFont="1"/>
    <xf numFmtId="0" fontId="10" fillId="0" borderId="13" xfId="0" applyFont="1" applyBorder="1"/>
    <xf numFmtId="0" fontId="0" fillId="0" borderId="13" xfId="0" applyBorder="1"/>
    <xf numFmtId="165" fontId="0" fillId="0" borderId="13" xfId="0" applyNumberFormat="1" applyBorder="1"/>
    <xf numFmtId="165" fontId="10" fillId="0" borderId="13" xfId="0" applyNumberFormat="1" applyFont="1" applyBorder="1"/>
    <xf numFmtId="0" fontId="0" fillId="0" borderId="13" xfId="0" applyBorder="1" applyAlignment="1">
      <alignment horizontal="right"/>
    </xf>
    <xf numFmtId="0" fontId="10" fillId="0" borderId="0" xfId="0" applyFont="1" applyBorder="1"/>
    <xf numFmtId="165" fontId="10" fillId="0" borderId="0" xfId="0" applyNumberFormat="1" applyFont="1" applyBorder="1"/>
  </cellXfs>
  <cellStyles count="1">
    <cellStyle name="Normal" xfId="0" builtinId="0"/>
  </cellStyles>
  <dxfs count="124">
    <dxf>
      <border diagonalUp="0" diagonalDown="0" outline="0">
        <left style="thin">
          <color rgb="FF0070C0"/>
        </left>
        <right style="double">
          <color rgb="FF0070C0"/>
        </right>
        <top style="double">
          <color rgb="FF0070C0"/>
        </top>
        <bottom style="double">
          <color rgb="FF0070C0"/>
        </bottom>
      </border>
    </dxf>
    <dxf>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border diagonalUp="0" diagonalDown="0" outline="0">
        <left style="thin">
          <color rgb="FF0070C0"/>
        </left>
        <right style="double">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border diagonalUp="0" diagonalDown="0" outline="0">
        <left style="thin">
          <color rgb="FF0070C0"/>
        </left>
        <right style="double">
          <color rgb="FF0070C0"/>
        </right>
        <top style="double">
          <color rgb="FF0070C0"/>
        </top>
        <bottom style="double">
          <color rgb="FF0070C0"/>
        </bottom>
      </border>
    </dxf>
    <dxf>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alignment horizontal="left" vertical="bottom" textRotation="0" wrapText="0" relativeIndent="1" justifyLastLine="0" shrinkToFit="0" readingOrder="0"/>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font>
        <b val="0"/>
        <i val="0"/>
        <strike val="0"/>
        <condense val="0"/>
        <extend val="0"/>
        <outline val="0"/>
        <shadow val="0"/>
        <u val="none"/>
        <vertAlign val="baseline"/>
        <sz val="9"/>
        <color theme="1"/>
        <name val="Calibri"/>
        <family val="2"/>
        <scheme val="minor"/>
      </font>
      <border diagonalUp="0" diagonalDown="0" outline="0">
        <left style="thin">
          <color rgb="FF0070C0"/>
        </left>
        <right style="double">
          <color rgb="FF0070C0"/>
        </right>
        <top style="double">
          <color rgb="FF0070C0"/>
        </top>
        <bottom style="double">
          <color rgb="FF0070C0"/>
        </bottom>
      </border>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top style="thin">
          <color rgb="FF0070C0"/>
        </top>
        <bottom style="thin">
          <color rgb="FF0070C0"/>
        </bottom>
      </border>
    </dxf>
    <dxf>
      <font>
        <b val="0"/>
        <i val="0"/>
        <strike val="0"/>
        <condense val="0"/>
        <extend val="0"/>
        <outline val="0"/>
        <shadow val="0"/>
        <u val="none"/>
        <vertAlign val="baseline"/>
        <sz val="9"/>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9"/>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trike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trike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right style="thin">
          <color rgb="FF0070C0"/>
        </right>
        <top style="thin">
          <color rgb="FF0070C0"/>
        </top>
        <bottom style="thin">
          <color rgb="FF0070C0"/>
        </bottom>
      </border>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trike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relativeIndent="1" justifyLastLine="0" shrinkToFit="0" readingOrder="0"/>
      <border diagonalUp="0" diagonalDown="0">
        <left style="thin">
          <color rgb="FF0070C0"/>
        </left>
        <right style="thin">
          <color rgb="FF0070C0"/>
        </right>
        <top style="thin">
          <color rgb="FF0070C0"/>
        </top>
        <bottom style="thin">
          <color rgb="FF0070C0"/>
        </bottom>
      </border>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font>
        <strike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outline="0">
        <left/>
        <right/>
        <top style="thin">
          <color rgb="FF0070C0"/>
        </top>
        <bottom style="thin">
          <color rgb="FF0070C0"/>
        </bottom>
      </border>
    </dxf>
    <dxf>
      <border>
        <top style="double">
          <color rgb="FF0070C0"/>
        </top>
      </border>
    </dxf>
    <dxf>
      <font>
        <strike val="0"/>
        <outline val="0"/>
        <shadow val="0"/>
        <u val="none"/>
        <vertAlign val="baseline"/>
        <sz val="9"/>
        <color rgb="FF000000"/>
        <name val="Calibri"/>
        <family val="2"/>
        <scheme val="none"/>
      </font>
      <border diagonalUp="0" diagonalDown="0" outline="0">
        <left style="thin">
          <color rgb="FF0070C0"/>
        </left>
        <right style="thin">
          <color rgb="FF0070C0"/>
        </right>
        <top/>
        <bottom/>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family val="2"/>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dxf>
    <dxf>
      <border diagonalUp="0" diagonalDown="0" outline="0">
        <left style="thin">
          <color rgb="FF0070C0"/>
        </left>
        <right style="double">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double">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left"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left" vertical="bottom" textRotation="0" wrapText="0" indent="1"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font>
        <sz val="8"/>
      </font>
      <alignment horizontal="center" vertical="bottom" textRotation="0" wrapText="0" indent="0" justifyLastLine="0" shrinkToFit="0" readingOrder="0"/>
      <border diagonalUp="0" diagonalDown="0">
        <left style="double">
          <color rgb="FF0070C0"/>
        </left>
        <right style="thin">
          <color rgb="FF0070C0"/>
        </right>
        <top style="double">
          <color rgb="FF0070C0"/>
        </top>
        <bottom style="double">
          <color rgb="FF0070C0"/>
        </bottom>
        <vertical/>
        <horizontal/>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border>
        <bottom style="thin">
          <color rgb="FF0070C0"/>
        </bottom>
      </border>
    </dxf>
    <dxf>
      <font>
        <b/>
        <i/>
        <strike val="0"/>
        <condense val="0"/>
        <extend val="0"/>
        <outline val="0"/>
        <shadow val="0"/>
        <u val="none"/>
        <vertAlign val="baseline"/>
        <sz val="9"/>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numFmt numFmtId="0" formatCode="General"/>
    </dxf>
    <dxf>
      <font>
        <strike val="0"/>
        <outline val="0"/>
        <shadow val="0"/>
        <u val="none"/>
        <vertAlign val="baseline"/>
        <sz val="12"/>
        <color theme="1"/>
        <name val="Calibri"/>
        <family val="2"/>
        <scheme val="minor"/>
      </font>
      <fill>
        <patternFill patternType="none">
          <fgColor indexed="64"/>
          <bgColor auto="1"/>
        </patternFill>
      </fill>
    </dxf>
    <dxf>
      <numFmt numFmtId="164" formatCode="_-[$₺-41F]* #,##0.00_-;\-[$₺-41F]* #,##0.00_-;_-[$₺-41F]* &quot;-&quot;??_-;_-@_-"/>
      <protection locked="0" hidden="0"/>
    </dxf>
    <dxf>
      <alignment horizontal="right" vertical="bottom" textRotation="0" wrapText="0" indent="0" justifyLastLine="0" shrinkToFit="0" readingOrder="0"/>
      <protection locked="0" hidden="0"/>
    </dxf>
    <dxf>
      <numFmt numFmtId="0" formatCode="General"/>
    </dxf>
    <dxf>
      <font>
        <strike val="0"/>
        <outline val="0"/>
        <shadow val="0"/>
        <u val="none"/>
        <vertAlign val="baseline"/>
        <sz val="12"/>
        <color theme="1"/>
        <name val="Calibri"/>
        <family val="2"/>
        <scheme val="minor"/>
      </font>
    </dxf>
    <dxf>
      <alignment horizontal="left" vertical="bottom" textRotation="0" wrapText="0" relativeIndent="1" justifyLastLine="0" shrinkToFit="0" readingOrder="0"/>
      <protection locked="0" hidden="0"/>
    </dxf>
    <dxf>
      <numFmt numFmtId="0" formatCode="General"/>
    </dxf>
    <dxf>
      <font>
        <strike val="0"/>
        <outline val="0"/>
        <shadow val="0"/>
        <u val="none"/>
        <vertAlign val="baseline"/>
        <sz val="12"/>
        <color theme="1"/>
        <name val="Calibri"/>
        <family val="2"/>
        <scheme val="minor"/>
      </font>
    </dxf>
    <dxf>
      <alignment horizontal="left" vertical="bottom" textRotation="0" wrapText="0" relativeIndent="1" justifyLastLine="0" shrinkToFit="0" readingOrder="0"/>
      <protection locked="0" hidden="0"/>
    </dxf>
    <dxf>
      <numFmt numFmtId="0" formatCode="General"/>
    </dxf>
    <dxf>
      <font>
        <strike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144780</xdr:colOff>
      <xdr:row>0</xdr:row>
      <xdr:rowOff>1097280</xdr:rowOff>
    </xdr:to>
    <mc:AlternateContent xmlns:mc="http://schemas.openxmlformats.org/markup-compatibility/2006" xmlns:sle15="http://schemas.microsoft.com/office/drawing/2012/slicer">
      <mc:Choice Requires="sle15">
        <xdr:graphicFrame macro="">
          <xdr:nvGraphicFramePr>
            <xdr:cNvPr id="9" name="Adı Soyadı">
              <a:extLst>
                <a:ext uri="{FF2B5EF4-FFF2-40B4-BE49-F238E27FC236}">
                  <a16:creationId xmlns:a16="http://schemas.microsoft.com/office/drawing/2014/main" id="{79A758C3-312A-4AF4-9441-E52A9288628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10</xdr:col>
      <xdr:colOff>38100</xdr:colOff>
      <xdr:row>1</xdr:row>
      <xdr:rowOff>15240</xdr:rowOff>
    </xdr:from>
    <xdr:to>
      <xdr:col>13</xdr:col>
      <xdr:colOff>68580</xdr:colOff>
      <xdr:row>1</xdr:row>
      <xdr:rowOff>297180</xdr:rowOff>
    </xdr:to>
    <xdr:sp macro="[0]!VerileriPrintSayfasinaAktarV1" textlink="">
      <xdr:nvSpPr>
        <xdr:cNvPr id="3" name="Dikdörtgen: Köşeleri Yuvarlatılmış 2">
          <a:extLst>
            <a:ext uri="{FF2B5EF4-FFF2-40B4-BE49-F238E27FC236}">
              <a16:creationId xmlns:a16="http://schemas.microsoft.com/office/drawing/2014/main" id="{8A012946-2096-4C8E-9095-B52F00781E9C}"/>
            </a:ext>
          </a:extLst>
        </xdr:cNvPr>
        <xdr:cNvSpPr/>
      </xdr:nvSpPr>
      <xdr:spPr>
        <a:xfrm>
          <a:off x="496824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9</xdr:col>
      <xdr:colOff>769620</xdr:colOff>
      <xdr:row>0</xdr:row>
      <xdr:rowOff>838200</xdr:rowOff>
    </xdr:to>
    <mc:AlternateContent xmlns:mc="http://schemas.openxmlformats.org/markup-compatibility/2006" xmlns:sle15="http://schemas.microsoft.com/office/drawing/2012/slicer">
      <mc:Choice Requires="sle15">
        <xdr:graphicFrame macro="">
          <xdr:nvGraphicFramePr>
            <xdr:cNvPr id="2" name="Adı Soyadı 1">
              <a:extLst>
                <a:ext uri="{FF2B5EF4-FFF2-40B4-BE49-F238E27FC236}">
                  <a16:creationId xmlns:a16="http://schemas.microsoft.com/office/drawing/2014/main" id="{512BB69E-4A0C-4A7A-9CEC-8127AAF5C78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1"/>
            </a:graphicData>
          </a:graphic>
        </xdr:graphicFrame>
      </mc:Choice>
      <mc:Fallback xmlns="">
        <xdr:sp macro="" textlink="">
          <xdr:nvSpPr>
            <xdr:cNvPr id="0" name=""/>
            <xdr:cNvSpPr>
              <a:spLocks noTextEdit="1"/>
            </xdr:cNvSpPr>
          </xdr:nvSpPr>
          <xdr:spPr>
            <a:xfrm>
              <a:off x="205745" y="68580"/>
              <a:ext cx="6316975" cy="83058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xdr:twoCellAnchor>
  <xdr:twoCellAnchor>
    <xdr:from>
      <xdr:col>11</xdr:col>
      <xdr:colOff>22860</xdr:colOff>
      <xdr:row>1</xdr:row>
      <xdr:rowOff>45720</xdr:rowOff>
    </xdr:from>
    <xdr:to>
      <xdr:col>14</xdr:col>
      <xdr:colOff>144780</xdr:colOff>
      <xdr:row>1</xdr:row>
      <xdr:rowOff>297180</xdr:rowOff>
    </xdr:to>
    <xdr:sp macro="[0]!VerileriPrintSayfasinaAktarV1" textlink="">
      <xdr:nvSpPr>
        <xdr:cNvPr id="4" name="Dikdörtgen: Köşeleri Yuvarlatılmış 3">
          <a:extLst>
            <a:ext uri="{FF2B5EF4-FFF2-40B4-BE49-F238E27FC236}">
              <a16:creationId xmlns:a16="http://schemas.microsoft.com/office/drawing/2014/main" id="{DA9CA472-6277-44FC-A9CC-B69245B40B2C}"/>
            </a:ext>
          </a:extLst>
        </xdr:cNvPr>
        <xdr:cNvSpPr/>
      </xdr:nvSpPr>
      <xdr:spPr>
        <a:xfrm>
          <a:off x="7345680" y="982980"/>
          <a:ext cx="1950720" cy="25146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PRİNT2 İÇİN AKTAR</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160020</xdr:colOff>
      <xdr:row>0</xdr:row>
      <xdr:rowOff>693420</xdr:rowOff>
    </xdr:to>
    <mc:AlternateContent xmlns:mc="http://schemas.openxmlformats.org/markup-compatibility/2006" xmlns:sle15="http://schemas.microsoft.com/office/drawing/2012/slicer">
      <mc:Choice Requires="sle15">
        <xdr:graphicFrame macro="">
          <xdr:nvGraphicFramePr>
            <xdr:cNvPr id="2" name="Adı Soyadı 2">
              <a:extLst>
                <a:ext uri="{FF2B5EF4-FFF2-40B4-BE49-F238E27FC236}">
                  <a16:creationId xmlns:a16="http://schemas.microsoft.com/office/drawing/2014/main" id="{09C7C29D-57BD-4D71-809A-87783BB43CF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2"/>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2" textlink="">
      <xdr:nvSpPr>
        <xdr:cNvPr id="3" name="Dikdörtgen: Köşeleri Yuvarlatılmış 2">
          <a:extLst>
            <a:ext uri="{FF2B5EF4-FFF2-40B4-BE49-F238E27FC236}">
              <a16:creationId xmlns:a16="http://schemas.microsoft.com/office/drawing/2014/main" id="{04928D85-0E77-44BC-AF23-72BF02593389}"/>
            </a:ext>
          </a:extLst>
        </xdr:cNvPr>
        <xdr:cNvSpPr/>
      </xdr:nvSpPr>
      <xdr:spPr>
        <a:xfrm>
          <a:off x="541782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22</xdr:col>
      <xdr:colOff>495300</xdr:colOff>
      <xdr:row>0</xdr:row>
      <xdr:rowOff>640080</xdr:rowOff>
    </xdr:to>
    <mc:AlternateContent xmlns:mc="http://schemas.openxmlformats.org/markup-compatibility/2006" xmlns:sle15="http://schemas.microsoft.com/office/drawing/2012/slicer">
      <mc:Choice Requires="sle15">
        <xdr:graphicFrame macro="">
          <xdr:nvGraphicFramePr>
            <xdr:cNvPr id="2" name="Adı Soyadı 4">
              <a:extLst>
                <a:ext uri="{FF2B5EF4-FFF2-40B4-BE49-F238E27FC236}">
                  <a16:creationId xmlns:a16="http://schemas.microsoft.com/office/drawing/2014/main" id="{6FA89BA6-A0AA-4668-9AA5-7E0FA9FBA6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4"/>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10</xdr:col>
      <xdr:colOff>38100</xdr:colOff>
      <xdr:row>1</xdr:row>
      <xdr:rowOff>15240</xdr:rowOff>
    </xdr:from>
    <xdr:to>
      <xdr:col>13</xdr:col>
      <xdr:colOff>68580</xdr:colOff>
      <xdr:row>1</xdr:row>
      <xdr:rowOff>297180</xdr:rowOff>
    </xdr:to>
    <xdr:sp macro="[0]!VerileriPrintSayfasinaAktarV1" textlink="">
      <xdr:nvSpPr>
        <xdr:cNvPr id="3" name="Dikdörtgen: Köşeleri Yuvarlatılmış 2">
          <a:extLst>
            <a:ext uri="{FF2B5EF4-FFF2-40B4-BE49-F238E27FC236}">
              <a16:creationId xmlns:a16="http://schemas.microsoft.com/office/drawing/2014/main" id="{C5C81238-4426-470F-875A-05BE23C79368}"/>
            </a:ext>
          </a:extLst>
        </xdr:cNvPr>
        <xdr:cNvSpPr/>
      </xdr:nvSpPr>
      <xdr:spPr>
        <a:xfrm>
          <a:off x="541782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160020</xdr:colOff>
      <xdr:row>0</xdr:row>
      <xdr:rowOff>678180</xdr:rowOff>
    </xdr:to>
    <mc:AlternateContent xmlns:mc="http://schemas.openxmlformats.org/markup-compatibility/2006" xmlns:sle15="http://schemas.microsoft.com/office/drawing/2012/slicer">
      <mc:Choice Requires="sle15">
        <xdr:graphicFrame macro="">
          <xdr:nvGraphicFramePr>
            <xdr:cNvPr id="2" name="Adı Soyadı 3">
              <a:extLst>
                <a:ext uri="{FF2B5EF4-FFF2-40B4-BE49-F238E27FC236}">
                  <a16:creationId xmlns:a16="http://schemas.microsoft.com/office/drawing/2014/main" id="{97FE43C7-57EE-49CC-B50D-DAEC4DA5A18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3"/>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2" textlink="">
      <xdr:nvSpPr>
        <xdr:cNvPr id="3" name="Dikdörtgen: Köşeleri Yuvarlatılmış 2">
          <a:extLst>
            <a:ext uri="{FF2B5EF4-FFF2-40B4-BE49-F238E27FC236}">
              <a16:creationId xmlns:a16="http://schemas.microsoft.com/office/drawing/2014/main" id="{04C4FD80-E7CD-458A-B443-E3DA6B552F45}"/>
            </a:ext>
          </a:extLst>
        </xdr:cNvPr>
        <xdr:cNvSpPr/>
      </xdr:nvSpPr>
      <xdr:spPr>
        <a:xfrm>
          <a:off x="601218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 xr10:uid="{90DE2D30-65F7-43DC-BEAF-9A01AB75DE1D}" sourceName="Adı Soyadı">
  <extLst>
    <x:ext xmlns:x15="http://schemas.microsoft.com/office/spreadsheetml/2010/11/main" uri="{2F2917AC-EB37-4324-AD4E-5DD8C200BD13}">
      <x15:tableSlicerCache tableId="4" column="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1" xr10:uid="{92A78131-36A7-4629-91B7-51C2FC0E5B66}" sourceName="Adı Soyadı">
  <extLst>
    <x:ext xmlns:x15="http://schemas.microsoft.com/office/spreadsheetml/2010/11/main" uri="{2F2917AC-EB37-4324-AD4E-5DD8C200BD13}">
      <x15:tableSlicerCache tableId="5"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2" xr10:uid="{9E1C32E2-2103-475C-AEE7-852B0C32ED1F}" sourceName="Adı Soyadı">
  <extLst>
    <x:ext xmlns:x15="http://schemas.microsoft.com/office/spreadsheetml/2010/11/main" uri="{2F2917AC-EB37-4324-AD4E-5DD8C200BD13}">
      <x15:tableSlicerCache tableId="7"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21" xr10:uid="{139D697E-9EEF-4CE5-AC11-CAA3FFD4B74A}" sourceName="Adı Soyadı">
  <extLst>
    <x:ext xmlns:x15="http://schemas.microsoft.com/office/spreadsheetml/2010/11/main" uri="{2F2917AC-EB37-4324-AD4E-5DD8C200BD13}">
      <x15:tableSlicerCache tableId="10"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3" xr10:uid="{39B07EA7-F7F2-4E31-951C-D140551A2A18}" sourceName="Adı Soyadı">
  <extLst>
    <x:ext xmlns:x15="http://schemas.microsoft.com/office/spreadsheetml/2010/11/main" uri="{2F2917AC-EB37-4324-AD4E-5DD8C200BD13}">
      <x15:tableSlicerCache tableId="1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xr10:uid="{C81320C2-A058-4753-9014-16EB82AB8264}" cache="Dilimleyici_Adı_Soyadı" caption="Adı Soyadı" columnCount="9"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1" xr10:uid="{9C5A01AF-A174-42A6-921F-E9D6DDE16DCB}" cache="Dilimleyici_Adı_Soyadı1" caption="Adı Soyadı" columnCount="4"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2" xr10:uid="{2701CE15-CB4F-4E71-ACC1-2DBA9D756E50}" cache="Dilimleyici_Adı_Soyadı2" caption="Adı Soyadı" columnCount="9" rowHeight="18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4" xr10:uid="{F96642F7-5668-4890-BB22-3A3F45552B88}" cache="Dilimleyici_Adı_Soyadı3" caption="Adı Soyadı" columnCount="9" rowHeight="180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3" xr10:uid="{052BAD69-CAD9-4663-8938-CCA7F2EC44A6}" cache="Dilimleyici_Adı_Soyadı21" caption="Adı Soyadı" columnCount="9"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27387F-7008-497B-B4CD-25A911565FD6}" name="ad" displayName="ad" ref="B2:C60" totalsRowShown="0" headerRowDxfId="123">
  <autoFilter ref="B2:C60" xr:uid="{5927387F-7008-497B-B4CD-25A911565FD6}"/>
  <sortState xmlns:xlrd2="http://schemas.microsoft.com/office/spreadsheetml/2017/richdata2" ref="B3:C60">
    <sortCondition ref="C2:C60"/>
  </sortState>
  <tableColumns count="2">
    <tableColumn id="1" xr3:uid="{D3C8D504-C756-4BAC-BEDA-BEF7B45FB2A5}" name="#" dataDxfId="122">
      <calculatedColumnFormula>IF(ISBLANK(C3),"",SUBTOTAL(3, $C$3:C3))</calculatedColumnFormula>
    </tableColumn>
    <tableColumn id="2" xr3:uid="{0FA6CF46-F169-4F5A-A741-11203AB3B212}" name="Adı Soyadı" dataDxfId="12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F4EDF6-1548-43D6-BE00-496707859C7E}" name="cins" displayName="cins" ref="E2:F15" totalsRowShown="0" headerRowDxfId="120">
  <autoFilter ref="E2:F15" xr:uid="{82F4EDF6-1548-43D6-BE00-496707859C7E}"/>
  <sortState xmlns:xlrd2="http://schemas.microsoft.com/office/spreadsheetml/2017/richdata2" ref="E3:F15">
    <sortCondition ref="F2:F15"/>
  </sortState>
  <tableColumns count="2">
    <tableColumn id="1" xr3:uid="{395CDF03-97AB-41BE-B3BB-B5DFED8317F4}" name="#" dataDxfId="119">
      <calculatedColumnFormula>IF(ISBLANK(F3),"",SUBTOTAL(3, $F$3:F3))</calculatedColumnFormula>
    </tableColumn>
    <tableColumn id="2" xr3:uid="{ADDD6F8F-83E8-41CB-A02B-8DB37812F8B6}" name="Cins" dataDxfId="11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B6549E-0EC7-41DD-99D7-1B3A8ED85DEF}" name="Fiyat" displayName="Fiyat" ref="H2:J40" totalsRowShown="0" headerRowDxfId="117">
  <autoFilter ref="H2:J40" xr:uid="{1CB6549E-0EC7-41DD-99D7-1B3A8ED85DEF}"/>
  <sortState xmlns:xlrd2="http://schemas.microsoft.com/office/spreadsheetml/2017/richdata2" ref="H3:J35">
    <sortCondition ref="I2:I35"/>
  </sortState>
  <tableColumns count="3">
    <tableColumn id="1" xr3:uid="{AD52B0B6-814C-4944-9E77-DB1AB849CDEE}" name="#" dataDxfId="116">
      <calculatedColumnFormula>IF(ISBLANK(I3),"",SUBTOTAL(3, $I$3:I3))</calculatedColumnFormula>
    </tableColumn>
    <tableColumn id="2" xr3:uid="{481BD462-90DA-40A2-8333-80260E18028C}" name="Ölçü" dataDxfId="115"/>
    <tableColumn id="3" xr3:uid="{E98333BB-8A0E-45CF-A8D1-88FC7AD389D3}" name="Birim Fiyatı" dataDxfId="11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763A2C6-3DCC-479F-B027-6C08A37DFA64}" name="EnBoy" displayName="EnBoy" ref="L2:N27" totalsRowShown="0" headerRowDxfId="113">
  <autoFilter ref="L2:N27" xr:uid="{6763A2C6-3DCC-479F-B027-6C08A37DFA64}"/>
  <sortState xmlns:xlrd2="http://schemas.microsoft.com/office/spreadsheetml/2017/richdata2" ref="L3:N27">
    <sortCondition ref="M2:M27"/>
  </sortState>
  <tableColumns count="3">
    <tableColumn id="3" xr3:uid="{E8011FCA-E0FE-4DCA-8D42-F5C10E1352A5}" name="#" dataDxfId="112">
      <calculatedColumnFormula>IF(ISBLANK(M3),"",SUBTOTAL(3, $M$3:M3))</calculatedColumnFormula>
    </tableColumn>
    <tableColumn id="1" xr3:uid="{BD7A33E8-3287-4EEB-B08A-A49525BE2E2D}" name="En"/>
    <tableColumn id="2" xr3:uid="{B42830A9-E053-42B7-A5CE-50198778F543}" name="Bo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36F355-5543-42FE-870F-6ED2E6CFFCB4}" name="Sacak" displayName="Sacak" ref="B2:I112" totalsRowCount="1" headerRowDxfId="111" totalsRowDxfId="108" headerRowBorderDxfId="110" tableBorderDxfId="109" totalsRowBorderDxfId="107">
  <autoFilter ref="B2:I111" xr:uid="{DB36F355-5543-42FE-870F-6ED2E6CFFCB4}"/>
  <sortState xmlns:xlrd2="http://schemas.microsoft.com/office/spreadsheetml/2017/richdata2" ref="B3:I111">
    <sortCondition ref="C2:C111"/>
  </sortState>
  <tableColumns count="8">
    <tableColumn id="1" xr3:uid="{09053AC9-1A84-4AF2-A391-2065B45B9163}" name="#" totalsRowLabel="Toplam" dataDxfId="106" totalsRowDxfId="105">
      <calculatedColumnFormula>IF(ISBLANK(C3),"",SUBTOTAL(3, $C$3:C3))</calculatedColumnFormula>
    </tableColumn>
    <tableColumn id="7" xr3:uid="{FBD6B27E-62A0-4199-9704-8B8484A25167}" name="Adı Soyadı" dataDxfId="104" totalsRowDxfId="103"/>
    <tableColumn id="2" xr3:uid="{786ABD40-507E-4A37-9FCA-A17EDFE35C09}" name="Ürün Cinsi" dataDxfId="102" totalsRowDxfId="101"/>
    <tableColumn id="3" xr3:uid="{A23B1BD9-8754-4876-BB08-9854B15D54C2}" name="ÖLÇÜSÜ" dataDxfId="100" totalsRowDxfId="99"/>
    <tableColumn id="4" xr3:uid="{D8CF9337-59A3-4ABE-A93D-6D078EC68DE7}" name="ADET" totalsRowFunction="sum" dataDxfId="98" totalsRowDxfId="97"/>
    <tableColumn id="5" xr3:uid="{DA384FCC-986B-44B3-8771-93E748AD7153}" name="BİRİM FİYAT" dataDxfId="96" totalsRowDxfId="95"/>
    <tableColumn id="6" xr3:uid="{D9C5FC44-7117-4072-8BFE-05E6BCF88188}" name="TUTAR" totalsRowFunction="sum" dataDxfId="94" totalsRowDxfId="93"/>
    <tableColumn id="8" xr3:uid="{452D43E8-41CC-407C-9AEE-B1846EF34460}" name="Ödenecek Toplam" dataDxfId="92" totalsRowDxfId="91">
      <calculatedColumnFormula>IF(ISBLANK(Sacak[[#This Row],[ÖLÇÜSÜ]]),"",SUMIF(Sacak[Adı Soyadı],Sacak[[#This Row],[Adı Soyadı]],Sacak[TUTAR]))</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19076B-2801-458B-B37C-40B8554710DE}" name="Etiket" displayName="Etiket" ref="B2:J117" totalsRowCount="1" headerRowDxfId="90" dataDxfId="88" totalsRowDxfId="86" headerRowBorderDxfId="89" tableBorderDxfId="87" totalsRowBorderDxfId="85">
  <autoFilter ref="B2:J116" xr:uid="{DB36F355-5543-42FE-870F-6ED2E6CFFCB4}"/>
  <sortState xmlns:xlrd2="http://schemas.microsoft.com/office/spreadsheetml/2017/richdata2" ref="B3:J116">
    <sortCondition ref="C2:C116"/>
  </sortState>
  <tableColumns count="9">
    <tableColumn id="1" xr3:uid="{2632B237-3E47-4425-9135-45C7A486282D}" name="#" totalsRowLabel="Toplam" dataDxfId="84" totalsRowDxfId="83">
      <calculatedColumnFormula>IF(ISBLANK(C3),"",SUBTOTAL(3, $C$3:C3))</calculatedColumnFormula>
    </tableColumn>
    <tableColumn id="7" xr3:uid="{37505CFD-FA79-4D89-8CB6-512A5FE62CE6}" name="Adı Soyadı" dataDxfId="82" totalsRowDxfId="81"/>
    <tableColumn id="2" xr3:uid="{F4A6BAAE-32B5-4BD4-8C22-858FA429A254}" name="Ürün Cinsi" dataDxfId="80" totalsRowDxfId="79"/>
    <tableColumn id="3" xr3:uid="{CE3C6448-B3DE-46D2-BA4D-F78128322DE7}" name="ÖLÇÜSÜ" dataDxfId="78" totalsRowDxfId="77"/>
    <tableColumn id="4" xr3:uid="{0E1D45A2-D68D-47DA-8104-C854282D89A7}" name="ADET" totalsRowFunction="sum" dataDxfId="76" totalsRowDxfId="75"/>
    <tableColumn id="10" xr3:uid="{2AA7412F-ED4F-4F59-AAC4-DBBA7DB2522F}" name="TOPLAM (m)" dataDxfId="74" totalsRowDxfId="73">
      <calculatedColumnFormula>IF(ISBLANK(Etiket[[#This Row],[ÖLÇÜSÜ]]),"",Etiket[[#This Row],[ADET]]*Etiket[[#This Row],[ÖLÇÜSÜ]]*2/100)</calculatedColumnFormula>
    </tableColumn>
    <tableColumn id="5" xr3:uid="{4FADC540-14F9-4B2C-A661-5E49A24F45EB}" name="BİRİM FİYAT" dataDxfId="72" totalsRowDxfId="71">
      <calculatedColumnFormula>IF(ISBLANK(Etiket[[#This Row],[ÖLÇÜSÜ]]),"",45)</calculatedColumnFormula>
    </tableColumn>
    <tableColumn id="6" xr3:uid="{F4416627-DF0D-4FA4-8803-3960CAA1724C}" name="TUTAR" totalsRowFunction="sum" dataDxfId="70" totalsRowDxfId="69">
      <calculatedColumnFormula>IF(ISBLANK(Etiket[[#This Row],[ÖLÇÜSÜ]]),"",G3*H3)</calculatedColumnFormula>
    </tableColumn>
    <tableColumn id="8" xr3:uid="{4A9C8777-1830-4385-9A7C-DC989F08007E}" name="Ödenecek Toplam" dataDxfId="68" totalsRowDxfId="67">
      <calculatedColumnFormula>IF(ISBLANK(Etiket[[#This Row],[ÖLÇÜSÜ]]),"",SUMIF(Etiket[Adı Soyadı],Etiket[[#This Row],[Adı Soyadı]],Etiket[TUTAR]))</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0C07CA-82F5-40A3-B276-0ECE83BB3D98}" name="ElOverlogu" displayName="ElOverlogu" ref="B2:J98" totalsRowCount="1" headerRowDxfId="66" dataDxfId="64" totalsRowDxfId="62" headerRowBorderDxfId="65" tableBorderDxfId="63" totalsRowBorderDxfId="61">
  <autoFilter ref="B2:J97" xr:uid="{DB36F355-5543-42FE-870F-6ED2E6CFFCB4}"/>
  <sortState xmlns:xlrd2="http://schemas.microsoft.com/office/spreadsheetml/2017/richdata2" ref="B3:J97">
    <sortCondition ref="C2:C97"/>
  </sortState>
  <tableColumns count="9">
    <tableColumn id="1" xr3:uid="{E5C8FB06-F62D-468B-8A1E-51CDADAC0BA7}" name="#" totalsRowLabel="Toplam" totalsRowDxfId="60">
      <calculatedColumnFormula>IF(ISBLANK(C3),"",SUBTOTAL(3, $C$3:C3))</calculatedColumnFormula>
    </tableColumn>
    <tableColumn id="7" xr3:uid="{067CD4BF-0554-49A7-AEB4-5ED27FCF7613}" name="Adı Soyadı" dataDxfId="59" totalsRowDxfId="58"/>
    <tableColumn id="2" xr3:uid="{24A8A6C8-86EA-44E7-80BD-57CE709FFEB8}" name="Ürün Cinsi" dataDxfId="57" totalsRowDxfId="56"/>
    <tableColumn id="3" xr3:uid="{EF70D612-5024-42B2-AF56-C00393B2D481}" name="En" dataDxfId="55" totalsRowDxfId="54"/>
    <tableColumn id="9" xr3:uid="{31DF8AA4-9EFA-432E-A4A1-2299F581ED9C}" name="Boy" dataDxfId="53" totalsRowDxfId="52"/>
    <tableColumn id="4" xr3:uid="{4CF2EDA4-33DB-4420-9A32-1C79D21D8ED1}" name="ADET" totalsRowFunction="sum" dataDxfId="51" totalsRowDxfId="50"/>
    <tableColumn id="5" xr3:uid="{C3084218-07CD-4D0F-94D2-E8FDF90EFD23}" name="BİRİM FİYAT" dataDxfId="49" totalsRowDxfId="48">
      <calculatedColumnFormula>IF(ISBLANK(ElOverlogu[[#This Row],[En]]),"",VLOOKUP(ElOverlogu[[#This Row],[Ürün Cinsi]],Fiyat[[Ölçü]:[Birim Fiyatı]],2,0))</calculatedColumnFormula>
    </tableColumn>
    <tableColumn id="6" xr3:uid="{101B08BE-AA83-41BA-988C-29693B716E2A}" name="TUTAR" totalsRowFunction="sum" dataDxfId="47" totalsRowDxfId="46">
      <calculatedColumnFormula>IF(ISBLANK(ElOverlogu[[#This Row],[En]]),"",(ElOverlogu[[#This Row],[En]]+ElOverlogu[[#This Row],[Boy]])*ElOverlogu[[#This Row],[ADET]]*2*H3/100)</calculatedColumnFormula>
    </tableColumn>
    <tableColumn id="8" xr3:uid="{847E2A1B-45AE-4DB0-9C7D-47E2EADA9201}" name="Ödenecek Toplam" dataDxfId="45" totalsRowDxfId="44">
      <calculatedColumnFormula>IF(ISBLANK(ElOverlogu[[#This Row],[En]]),"",SUMIF(ElOverlogu[Adı Soyadı],ElOverlogu[[#This Row],[Adı Soyadı]],ElOverlogu[TUTAR]))</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B814803-BD90-42F1-978C-C452F4CB8FA7}" name="Sacak13" displayName="Sacak13" ref="B2:I112" totalsRowCount="1" headerRowDxfId="43" dataDxfId="41" totalsRowDxfId="39" headerRowBorderDxfId="42" tableBorderDxfId="40" totalsRowBorderDxfId="38">
  <autoFilter ref="B2:I111" xr:uid="{DB36F355-5543-42FE-870F-6ED2E6CFFCB4}"/>
  <sortState xmlns:xlrd2="http://schemas.microsoft.com/office/spreadsheetml/2017/richdata2" ref="B3:I111">
    <sortCondition ref="C2:C111"/>
  </sortState>
  <tableColumns count="8">
    <tableColumn id="1" xr3:uid="{E5AA23D3-313F-4417-8C1B-64B1AD9B3BB8}" name="#" totalsRowLabel="Toplam" totalsRowDxfId="37">
      <calculatedColumnFormula>IF(ISBLANK(C3),"",SUBTOTAL(3, $C$3:C3))</calculatedColumnFormula>
    </tableColumn>
    <tableColumn id="7" xr3:uid="{EA292B71-3C91-454B-A653-0700AC21C752}" name="Adı Soyadı" dataDxfId="36" totalsRowDxfId="35"/>
    <tableColumn id="2" xr3:uid="{B8F9AB0F-0B05-4653-99C0-1E182AEE187D}" name="Ürün Cinsi" dataDxfId="34" totalsRowDxfId="33"/>
    <tableColumn id="3" xr3:uid="{3C57567E-7333-41FC-A260-9C6478659AE1}" name="ÖLÇÜSÜ" dataDxfId="32" totalsRowDxfId="31"/>
    <tableColumn id="4" xr3:uid="{8FC63AC0-8FEF-4A62-A145-4728C2C75463}" name="ADET" totalsRowFunction="sum" dataDxfId="30" totalsRowDxfId="29"/>
    <tableColumn id="5" xr3:uid="{350DA5A3-64AB-431E-844B-8FE3F1FE3501}" name="BİRİM FİYAT" dataDxfId="28" totalsRowDxfId="27">
      <calculatedColumnFormula>IF(ISBLANK(Sacak13[[#This Row],[Adı Soyadı]]),"",VLOOKUP(Sacak13[[#This Row],[Ürün Cinsi]],Fiyat[[Ölçü]:[Birim Fiyatı]],2,0))</calculatedColumnFormula>
    </tableColumn>
    <tableColumn id="6" xr3:uid="{2D5E3A7F-8659-42D1-899A-2A3F8BBB52E9}" name="TUTAR" totalsRowFunction="sum" dataDxfId="26" totalsRowDxfId="25">
      <calculatedColumnFormula>IF(ISBLANK(Sacak13[[#This Row],[Adı Soyadı]]),"",Sacak13[[#This Row],[ADET]]*Sacak13[[#This Row],[BİRİM FİYAT]])</calculatedColumnFormula>
    </tableColumn>
    <tableColumn id="8" xr3:uid="{D46BF6E6-2021-4815-91B3-7EBE09BEF151}" name="Ödenecek Toplam" dataDxfId="24" totalsRowDxfId="23">
      <calculatedColumnFormula>IF(ISBLANK(Sacak13[[#This Row],[ADET]]),"",SUMIF(Sacak13[Adı Soyadı],Sacak13[[#This Row],[Adı Soyadı]],Sacak13[TUTAR]))</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D8AE9B8-2AD0-4E20-BCAF-15E0A17E65D4}" name="ElOverlogu11" displayName="ElOverlogu11" ref="B2:J98" totalsRowCount="1" headerRowDxfId="22" dataDxfId="20" totalsRowDxfId="18" headerRowBorderDxfId="21" tableBorderDxfId="19" totalsRowBorderDxfId="17">
  <autoFilter ref="B2:J97" xr:uid="{DB36F355-5543-42FE-870F-6ED2E6CFFCB4}"/>
  <sortState xmlns:xlrd2="http://schemas.microsoft.com/office/spreadsheetml/2017/richdata2" ref="B3:J97">
    <sortCondition ref="C2:C97"/>
  </sortState>
  <tableColumns count="9">
    <tableColumn id="1" xr3:uid="{A1006C38-491E-4691-A0B6-64F07F59D1BA}" name="#" totalsRowLabel="Toplam" totalsRowDxfId="16">
      <calculatedColumnFormula>IF(ISBLANK(C3),"",SUBTOTAL(3, $C$3:C3))</calculatedColumnFormula>
    </tableColumn>
    <tableColumn id="7" xr3:uid="{E7BCC3E8-40A5-465B-B823-0ADD697EFD18}" name="Adı Soyadı" dataDxfId="15" totalsRowDxfId="14"/>
    <tableColumn id="2" xr3:uid="{92592F80-EAC8-4A52-A16D-354F2333F8DE}" name="Ürün Cinsi" dataDxfId="13" totalsRowDxfId="12"/>
    <tableColumn id="3" xr3:uid="{3F612FF2-7263-4C0E-935C-5C1E301A6D6C}" name="En" dataDxfId="11" totalsRowDxfId="10"/>
    <tableColumn id="9" xr3:uid="{65C09C38-DDAA-40E6-958B-02C846B33902}" name="Boy" dataDxfId="9" totalsRowDxfId="8"/>
    <tableColumn id="4" xr3:uid="{2FA6ACB6-90FF-4672-B3E6-4D0C5B48188E}" name="ADET" totalsRowFunction="sum" dataDxfId="7" totalsRowDxfId="6"/>
    <tableColumn id="5" xr3:uid="{F5840BF9-54A7-4C32-8515-FDEDFF1B26E4}" name="BİRİM FİYAT" dataDxfId="5" totalsRowDxfId="4">
      <calculatedColumnFormula>IF(ISBLANK(ElOverlogu11[[#This Row],[Adı Soyadı]]),"",VLOOKUP(ElOverlogu11[[#This Row],[En]],Fiyat[[Ölçü]:[Birim Fiyatı]],2,0))</calculatedColumnFormula>
    </tableColumn>
    <tableColumn id="6" xr3:uid="{4C3F6ACE-0C12-40D7-B694-ED5CDE9CC2B3}" name="TUTAR" totalsRowFunction="sum" dataDxfId="3" totalsRowDxfId="2">
      <calculatedColumnFormula>IF(ISBLANK(ElOverlogu11[[#This Row],[En]]),"",(ElOverlogu11[[#This Row],[En]])*ElOverlogu11[[#This Row],[ADET]]*2*ElOverlogu11[[#This Row],[BİRİM FİYAT]]/100)</calculatedColumnFormula>
    </tableColumn>
    <tableColumn id="8" xr3:uid="{94AC61F6-F743-46F7-B8DB-491C526F9A2B}" name="Ödenecek Toplam" dataDxfId="1" totalsRowDxfId="0">
      <calculatedColumnFormula>IF(ISBLANK(ElOverlogu11[[#This Row],[En]]),"",SUMIF(ElOverlogu11[Adı Soyadı],ElOverlogu11[[#This Row],[Adı Soyadı]],ElOverlogu11[TUTAR]))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30684-36F3-4D23-A7AA-136D1D01C6DA}">
  <sheetPr codeName="Sayfa1">
    <tabColor rgb="FFFFFF00"/>
  </sheetPr>
  <dimension ref="B1:N60"/>
  <sheetViews>
    <sheetView zoomScale="90" zoomScaleNormal="90" workbookViewId="0">
      <pane ySplit="2" topLeftCell="A3" activePane="bottomLeft" state="frozen"/>
      <selection pane="bottomLeft" activeCell="J54" sqref="J54"/>
    </sheetView>
  </sheetViews>
  <sheetFormatPr defaultRowHeight="15" x14ac:dyDescent="0.25"/>
  <cols>
    <col min="2" max="2" width="4.28515625" bestFit="1" customWidth="1"/>
    <col min="3" max="3" width="27.5703125" customWidth="1"/>
    <col min="5" max="5" width="4.28515625" bestFit="1" customWidth="1"/>
    <col min="6" max="6" width="21.140625" customWidth="1"/>
    <col min="8" max="8" width="4.28515625" bestFit="1" customWidth="1"/>
    <col min="9" max="9" width="14.7109375" style="4" customWidth="1"/>
    <col min="10" max="10" width="14.85546875" customWidth="1"/>
    <col min="12" max="12" width="4.5703125" bestFit="1" customWidth="1"/>
    <col min="13" max="13" width="9.28515625" customWidth="1"/>
  </cols>
  <sheetData>
    <row r="1" spans="2:14" ht="15" customHeight="1" x14ac:dyDescent="0.25"/>
    <row r="2" spans="2:14" s="56" customFormat="1" ht="21" customHeight="1" x14ac:dyDescent="0.25">
      <c r="B2" s="56" t="s">
        <v>19</v>
      </c>
      <c r="C2" s="56" t="s">
        <v>18</v>
      </c>
      <c r="E2" s="56" t="s">
        <v>19</v>
      </c>
      <c r="F2" s="56" t="s">
        <v>20</v>
      </c>
      <c r="H2" s="56" t="s">
        <v>19</v>
      </c>
      <c r="I2" s="57" t="s">
        <v>21</v>
      </c>
      <c r="J2" s="56" t="s">
        <v>38</v>
      </c>
      <c r="L2" s="56" t="s">
        <v>19</v>
      </c>
      <c r="M2" s="56" t="s">
        <v>58</v>
      </c>
      <c r="N2" s="56" t="s">
        <v>59</v>
      </c>
    </row>
    <row r="3" spans="2:14" x14ac:dyDescent="0.25">
      <c r="B3">
        <f>IF(ISBLANK(C3),"",SUBTOTAL(3, $C$3:C3))</f>
        <v>1</v>
      </c>
      <c r="C3" s="39" t="s">
        <v>46</v>
      </c>
      <c r="E3">
        <f>IF(ISBLANK(F3),"",SUBTOTAL(3, $F$3:F3))</f>
        <v>1</v>
      </c>
      <c r="F3" s="39" t="s">
        <v>56</v>
      </c>
      <c r="H3">
        <v>1</v>
      </c>
      <c r="I3" s="37">
        <v>20</v>
      </c>
      <c r="J3" s="38">
        <v>40</v>
      </c>
      <c r="L3">
        <f>IF(ISBLANK(M3),"",SUBTOTAL(3, $M$3:M3))</f>
        <v>1</v>
      </c>
      <c r="M3">
        <v>40</v>
      </c>
      <c r="N3">
        <v>40</v>
      </c>
    </row>
    <row r="4" spans="2:14" x14ac:dyDescent="0.25">
      <c r="B4">
        <f>IF(ISBLANK(C4),"",SUBTOTAL(3, $C$3:C4))</f>
        <v>2</v>
      </c>
      <c r="C4" s="39" t="s">
        <v>45</v>
      </c>
      <c r="E4">
        <f>IF(ISBLANK(F4),"",SUBTOTAL(3, $F$3:F4))</f>
        <v>2</v>
      </c>
      <c r="F4" s="39" t="s">
        <v>15</v>
      </c>
      <c r="H4">
        <v>2</v>
      </c>
      <c r="I4" s="37">
        <v>30</v>
      </c>
      <c r="J4" s="38">
        <v>55</v>
      </c>
      <c r="L4">
        <f>IF(ISBLANK(M4),"",SUBTOTAL(3, $M$3:M4))</f>
        <v>2</v>
      </c>
      <c r="M4">
        <v>45</v>
      </c>
      <c r="N4">
        <v>45</v>
      </c>
    </row>
    <row r="5" spans="2:14" x14ac:dyDescent="0.25">
      <c r="B5">
        <f>IF(ISBLANK(C5),"",SUBTOTAL(3, $C$3:C5))</f>
        <v>3</v>
      </c>
      <c r="C5" s="39" t="s">
        <v>6</v>
      </c>
      <c r="E5">
        <f>IF(ISBLANK(F5),"",SUBTOTAL(3, $F$3:F5))</f>
        <v>3</v>
      </c>
      <c r="F5" s="39" t="s">
        <v>57</v>
      </c>
      <c r="H5">
        <v>3</v>
      </c>
      <c r="I5" s="37">
        <v>40</v>
      </c>
      <c r="J5" s="38">
        <v>75</v>
      </c>
      <c r="L5">
        <f>IF(ISBLANK(M5),"",SUBTOTAL(3, $M$3:M5))</f>
        <v>3</v>
      </c>
      <c r="M5">
        <v>60</v>
      </c>
      <c r="N5">
        <v>60</v>
      </c>
    </row>
    <row r="6" spans="2:14" x14ac:dyDescent="0.25">
      <c r="B6">
        <f>IF(ISBLANK(C6),"",SUBTOTAL(3, $C$3:C6))</f>
        <v>4</v>
      </c>
      <c r="C6" s="39" t="s">
        <v>9</v>
      </c>
      <c r="E6">
        <f>IF(ISBLANK(F6),"",SUBTOTAL(3, $F$3:F6))</f>
        <v>4</v>
      </c>
      <c r="F6" s="39" t="s">
        <v>63</v>
      </c>
      <c r="H6">
        <v>4</v>
      </c>
      <c r="I6" s="37">
        <v>45</v>
      </c>
      <c r="J6" s="38">
        <v>85</v>
      </c>
      <c r="L6">
        <f>IF(ISBLANK(M6),"",SUBTOTAL(3, $M$3:M6))</f>
        <v>4</v>
      </c>
      <c r="M6">
        <v>70</v>
      </c>
      <c r="N6">
        <v>70</v>
      </c>
    </row>
    <row r="7" spans="2:14" x14ac:dyDescent="0.25">
      <c r="B7">
        <f>IF(ISBLANK(C7),"",SUBTOTAL(3, $C$3:C7))</f>
        <v>5</v>
      </c>
      <c r="C7" s="39" t="s">
        <v>27</v>
      </c>
      <c r="E7">
        <f>IF(ISBLANK(F7),"",SUBTOTAL(3, $F$3:F7))</f>
        <v>5</v>
      </c>
      <c r="F7" s="39" t="s">
        <v>50</v>
      </c>
      <c r="H7">
        <v>5</v>
      </c>
      <c r="I7" s="37">
        <v>60</v>
      </c>
      <c r="J7" s="38">
        <v>115</v>
      </c>
      <c r="L7">
        <f>IF(ISBLANK(M7),"",SUBTOTAL(3, $M$3:M7))</f>
        <v>5</v>
      </c>
      <c r="M7">
        <v>80</v>
      </c>
      <c r="N7">
        <v>80</v>
      </c>
    </row>
    <row r="8" spans="2:14" x14ac:dyDescent="0.25">
      <c r="B8">
        <f>IF(ISBLANK(C8),"",SUBTOTAL(3, $C$3:C8))</f>
        <v>6</v>
      </c>
      <c r="C8" s="39" t="s">
        <v>68</v>
      </c>
      <c r="E8">
        <f>IF(ISBLANK(F8),"",SUBTOTAL(3, $F$3:F8))</f>
        <v>6</v>
      </c>
      <c r="F8" s="39" t="s">
        <v>7</v>
      </c>
      <c r="H8">
        <v>6</v>
      </c>
      <c r="I8" s="37">
        <v>70</v>
      </c>
      <c r="J8" s="38">
        <v>135</v>
      </c>
      <c r="L8">
        <f>IF(ISBLANK(M8),"",SUBTOTAL(3, $M$3:M8))</f>
        <v>6</v>
      </c>
      <c r="M8">
        <v>90</v>
      </c>
      <c r="N8">
        <v>90</v>
      </c>
    </row>
    <row r="9" spans="2:14" x14ac:dyDescent="0.25">
      <c r="B9">
        <f>IF(ISBLANK(C9),"",SUBTOTAL(3, $C$3:C9))</f>
        <v>7</v>
      </c>
      <c r="C9" s="39" t="s">
        <v>61</v>
      </c>
      <c r="E9">
        <f>IF(ISBLANK(F9),"",SUBTOTAL(3, $F$3:F9))</f>
        <v>7</v>
      </c>
      <c r="F9" s="39" t="s">
        <v>43</v>
      </c>
      <c r="H9">
        <v>7</v>
      </c>
      <c r="I9" s="37">
        <v>80</v>
      </c>
      <c r="J9" s="38">
        <v>150</v>
      </c>
      <c r="L9">
        <f>IF(ISBLANK(M9),"",SUBTOTAL(3, $M$3:M9))</f>
        <v>7</v>
      </c>
      <c r="M9">
        <v>100</v>
      </c>
      <c r="N9">
        <v>100</v>
      </c>
    </row>
    <row r="10" spans="2:14" x14ac:dyDescent="0.25">
      <c r="B10">
        <f>IF(ISBLANK(C10),"",SUBTOTAL(3, $C$3:C10))</f>
        <v>8</v>
      </c>
      <c r="C10" s="39" t="s">
        <v>25</v>
      </c>
      <c r="E10">
        <f>IF(ISBLANK(F10),"",SUBTOTAL(3, $F$3:F10))</f>
        <v>8</v>
      </c>
      <c r="F10" s="39" t="s">
        <v>4</v>
      </c>
      <c r="H10">
        <v>8</v>
      </c>
      <c r="I10" s="37">
        <v>90</v>
      </c>
      <c r="J10" s="38">
        <v>170</v>
      </c>
      <c r="L10">
        <f>IF(ISBLANK(M10),"",SUBTOTAL(3, $M$3:M10))</f>
        <v>8</v>
      </c>
      <c r="M10">
        <v>120</v>
      </c>
      <c r="N10">
        <v>120</v>
      </c>
    </row>
    <row r="11" spans="2:14" x14ac:dyDescent="0.25">
      <c r="B11">
        <f>IF(ISBLANK(C11),"",SUBTOTAL(3, $C$3:C11))</f>
        <v>9</v>
      </c>
      <c r="C11" s="39" t="s">
        <v>60</v>
      </c>
      <c r="E11">
        <f>IF(ISBLANK(F11),"",SUBTOTAL(3, $F$3:F11))</f>
        <v>9</v>
      </c>
      <c r="F11" s="39" t="s">
        <v>70</v>
      </c>
      <c r="H11">
        <v>9</v>
      </c>
      <c r="I11" s="37">
        <v>100</v>
      </c>
      <c r="J11" s="38">
        <v>190</v>
      </c>
      <c r="L11">
        <f>IF(ISBLANK(M11),"",SUBTOTAL(3, $M$3:M11))</f>
        <v>9</v>
      </c>
      <c r="M11">
        <v>130</v>
      </c>
      <c r="N11">
        <v>130</v>
      </c>
    </row>
    <row r="12" spans="2:14" x14ac:dyDescent="0.25">
      <c r="B12">
        <f>IF(ISBLANK(C12),"",SUBTOTAL(3, $C$3:C12))</f>
        <v>10</v>
      </c>
      <c r="C12" s="39" t="s">
        <v>48</v>
      </c>
      <c r="E12" t="str">
        <f>IF(ISBLANK(F12),"",SUBTOTAL(3, $F$3:F12))</f>
        <v/>
      </c>
      <c r="F12" s="39"/>
      <c r="H12">
        <v>10</v>
      </c>
      <c r="I12" s="37">
        <v>120</v>
      </c>
      <c r="J12" s="38">
        <v>225</v>
      </c>
      <c r="L12">
        <f>IF(ISBLANK(M12),"",SUBTOTAL(3, $M$3:M12))</f>
        <v>10</v>
      </c>
      <c r="M12">
        <v>140</v>
      </c>
      <c r="N12">
        <v>140</v>
      </c>
    </row>
    <row r="13" spans="2:14" x14ac:dyDescent="0.25">
      <c r="B13">
        <f>IF(ISBLANK(C13),"",SUBTOTAL(3, $C$3:C13))</f>
        <v>11</v>
      </c>
      <c r="C13" s="39" t="s">
        <v>64</v>
      </c>
      <c r="E13" t="str">
        <f>IF(ISBLANK(F13),"",SUBTOTAL(3, $F$3:F13))</f>
        <v/>
      </c>
      <c r="F13" s="39"/>
      <c r="H13">
        <v>11</v>
      </c>
      <c r="I13" s="37">
        <v>125</v>
      </c>
      <c r="J13" s="38">
        <v>235</v>
      </c>
      <c r="L13">
        <f>IF(ISBLANK(M13),"",SUBTOTAL(3, $M$3:M13))</f>
        <v>11</v>
      </c>
      <c r="M13">
        <v>150</v>
      </c>
      <c r="N13">
        <v>150</v>
      </c>
    </row>
    <row r="14" spans="2:14" x14ac:dyDescent="0.25">
      <c r="B14">
        <f>IF(ISBLANK(C14),"",SUBTOTAL(3, $C$3:C14))</f>
        <v>12</v>
      </c>
      <c r="C14" s="39" t="s">
        <v>54</v>
      </c>
      <c r="E14" t="str">
        <f>IF(ISBLANK(F14),"",SUBTOTAL(3, $F$3:F14))</f>
        <v/>
      </c>
      <c r="F14" s="39"/>
      <c r="H14">
        <v>12</v>
      </c>
      <c r="I14" s="37">
        <v>130</v>
      </c>
      <c r="J14" s="38">
        <v>245</v>
      </c>
      <c r="L14">
        <f>IF(ISBLANK(M14),"",SUBTOTAL(3, $M$3:M14))</f>
        <v>12</v>
      </c>
      <c r="M14">
        <v>160</v>
      </c>
      <c r="N14">
        <v>160</v>
      </c>
    </row>
    <row r="15" spans="2:14" x14ac:dyDescent="0.25">
      <c r="B15">
        <f>IF(ISBLANK(C15),"",SUBTOTAL(3, $C$3:C15))</f>
        <v>13</v>
      </c>
      <c r="C15" s="39" t="s">
        <v>17</v>
      </c>
      <c r="E15" t="str">
        <f>IF(ISBLANK(F15),"",SUBTOTAL(3, $F$3:F15))</f>
        <v/>
      </c>
      <c r="F15" s="39"/>
      <c r="H15">
        <v>13</v>
      </c>
      <c r="I15" s="37">
        <v>140</v>
      </c>
      <c r="J15" s="38">
        <v>265</v>
      </c>
      <c r="L15">
        <f>IF(ISBLANK(M15),"",SUBTOTAL(3, $M$3:M15))</f>
        <v>13</v>
      </c>
      <c r="M15">
        <v>170</v>
      </c>
      <c r="N15">
        <v>170</v>
      </c>
    </row>
    <row r="16" spans="2:14" x14ac:dyDescent="0.25">
      <c r="B16">
        <f>IF(ISBLANK(C16),"",SUBTOTAL(3, $C$3:C16))</f>
        <v>14</v>
      </c>
      <c r="C16" s="39" t="s">
        <v>35</v>
      </c>
      <c r="H16">
        <v>14</v>
      </c>
      <c r="I16" s="37">
        <v>160</v>
      </c>
      <c r="J16" s="38">
        <v>300</v>
      </c>
      <c r="L16">
        <f>IF(ISBLANK(M16),"",SUBTOTAL(3, $M$3:M16))</f>
        <v>14</v>
      </c>
      <c r="M16">
        <v>180</v>
      </c>
      <c r="N16">
        <v>180</v>
      </c>
    </row>
    <row r="17" spans="2:14" x14ac:dyDescent="0.25">
      <c r="B17">
        <f>IF(ISBLANK(C17),"",SUBTOTAL(3, $C$3:C17))</f>
        <v>15</v>
      </c>
      <c r="C17" s="39" t="s">
        <v>62</v>
      </c>
      <c r="H17">
        <v>15</v>
      </c>
      <c r="I17" s="37">
        <v>170</v>
      </c>
      <c r="J17" s="38">
        <v>320</v>
      </c>
      <c r="L17">
        <f>IF(ISBLANK(M17),"",SUBTOTAL(3, $M$3:M17))</f>
        <v>15</v>
      </c>
      <c r="M17">
        <v>190</v>
      </c>
      <c r="N17">
        <v>190</v>
      </c>
    </row>
    <row r="18" spans="2:14" x14ac:dyDescent="0.25">
      <c r="B18">
        <f>IF(ISBLANK(C18),"",SUBTOTAL(3, $C$3:C18))</f>
        <v>16</v>
      </c>
      <c r="C18" s="39" t="s">
        <v>29</v>
      </c>
      <c r="H18">
        <v>16</v>
      </c>
      <c r="I18" s="37">
        <v>180</v>
      </c>
      <c r="J18" s="38">
        <v>340</v>
      </c>
      <c r="L18">
        <f>IF(ISBLANK(M18),"",SUBTOTAL(3, $M$3:M18))</f>
        <v>16</v>
      </c>
      <c r="M18">
        <v>200</v>
      </c>
      <c r="N18">
        <v>200</v>
      </c>
    </row>
    <row r="19" spans="2:14" x14ac:dyDescent="0.25">
      <c r="B19">
        <f>IF(ISBLANK(C19),"",SUBTOTAL(3, $C$3:C19))</f>
        <v>17</v>
      </c>
      <c r="C19" s="39" t="s">
        <v>28</v>
      </c>
      <c r="H19">
        <v>17</v>
      </c>
      <c r="I19" s="37">
        <v>185</v>
      </c>
      <c r="J19" s="38">
        <v>350</v>
      </c>
      <c r="L19">
        <f>IF(ISBLANK(M19),"",SUBTOTAL(3, $M$3:M19))</f>
        <v>17</v>
      </c>
      <c r="M19">
        <v>200</v>
      </c>
      <c r="N19">
        <v>260</v>
      </c>
    </row>
    <row r="20" spans="2:14" x14ac:dyDescent="0.25">
      <c r="B20">
        <f>IF(ISBLANK(C20),"",SUBTOTAL(3, $C$3:C20))</f>
        <v>18</v>
      </c>
      <c r="C20" s="39" t="s">
        <v>36</v>
      </c>
      <c r="H20">
        <v>18</v>
      </c>
      <c r="I20" s="37">
        <v>190</v>
      </c>
      <c r="J20" s="38">
        <v>360</v>
      </c>
      <c r="L20">
        <f>IF(ISBLANK(M20),"",SUBTOTAL(3, $M$3:M20))</f>
        <v>18</v>
      </c>
      <c r="M20">
        <v>240</v>
      </c>
      <c r="N20">
        <v>240</v>
      </c>
    </row>
    <row r="21" spans="2:14" x14ac:dyDescent="0.25">
      <c r="B21">
        <f>IF(ISBLANK(C21),"",SUBTOTAL(3, $C$3:C21))</f>
        <v>19</v>
      </c>
      <c r="C21" s="39" t="s">
        <v>34</v>
      </c>
      <c r="H21">
        <v>19</v>
      </c>
      <c r="I21" s="37">
        <v>200</v>
      </c>
      <c r="J21" s="38">
        <v>365</v>
      </c>
      <c r="L21">
        <f>IF(ISBLANK(M21),"",SUBTOTAL(3, $M$3:M21))</f>
        <v>19</v>
      </c>
      <c r="M21">
        <v>250</v>
      </c>
      <c r="N21">
        <v>250</v>
      </c>
    </row>
    <row r="22" spans="2:14" x14ac:dyDescent="0.25">
      <c r="B22">
        <f>IF(ISBLANK(C22),"",SUBTOTAL(3, $C$3:C22))</f>
        <v>20</v>
      </c>
      <c r="C22" s="39" t="s">
        <v>31</v>
      </c>
      <c r="H22">
        <v>20</v>
      </c>
      <c r="I22" s="37">
        <v>240</v>
      </c>
      <c r="J22" s="38">
        <v>445</v>
      </c>
      <c r="L22">
        <f>IF(ISBLANK(M22),"",SUBTOTAL(3, $M$3:M22))</f>
        <v>20</v>
      </c>
      <c r="M22">
        <v>300</v>
      </c>
      <c r="N22">
        <v>300</v>
      </c>
    </row>
    <row r="23" spans="2:14" x14ac:dyDescent="0.25">
      <c r="B23">
        <f>IF(ISBLANK(C23),"",SUBTOTAL(3, $C$3:C23))</f>
        <v>21</v>
      </c>
      <c r="C23" s="39" t="s">
        <v>37</v>
      </c>
      <c r="H23">
        <v>21</v>
      </c>
      <c r="I23" s="37">
        <v>250</v>
      </c>
      <c r="J23" s="38">
        <v>475</v>
      </c>
      <c r="L23" t="str">
        <f>IF(ISBLANK(M23),"",SUBTOTAL(3, $M$3:M23))</f>
        <v/>
      </c>
    </row>
    <row r="24" spans="2:14" x14ac:dyDescent="0.25">
      <c r="B24">
        <f>IF(ISBLANK(C24),"",SUBTOTAL(3, $C$3:C24))</f>
        <v>22</v>
      </c>
      <c r="C24" s="39" t="s">
        <v>73</v>
      </c>
      <c r="H24">
        <v>22</v>
      </c>
      <c r="I24" s="37">
        <v>300</v>
      </c>
      <c r="J24" s="38">
        <v>570</v>
      </c>
      <c r="L24" t="str">
        <f>IF(ISBLANK(M24),"",SUBTOTAL(3, $M$3:M24))</f>
        <v/>
      </c>
    </row>
    <row r="25" spans="2:14" x14ac:dyDescent="0.25">
      <c r="B25">
        <f>IF(ISBLANK(C25),"",SUBTOTAL(3, $C$3:C27))</f>
        <v>25</v>
      </c>
      <c r="C25" s="39" t="s">
        <v>69</v>
      </c>
      <c r="H25">
        <v>23</v>
      </c>
      <c r="I25" s="37" t="s">
        <v>56</v>
      </c>
      <c r="J25" s="38">
        <v>165</v>
      </c>
      <c r="L25" t="str">
        <f>IF(ISBLANK(M25),"",SUBTOTAL(3, $M$3:M25))</f>
        <v/>
      </c>
    </row>
    <row r="26" spans="2:14" x14ac:dyDescent="0.25">
      <c r="B26">
        <f>IF(ISBLANK(C26),"",SUBTOTAL(3, $C$3:C26))</f>
        <v>24</v>
      </c>
      <c r="C26" s="39" t="s">
        <v>22</v>
      </c>
      <c r="H26">
        <v>24</v>
      </c>
      <c r="I26" s="37" t="s">
        <v>57</v>
      </c>
      <c r="J26" s="38">
        <v>7</v>
      </c>
      <c r="L26" t="str">
        <f>IF(ISBLANK(M26),"",SUBTOTAL(3, $M$3:M26))</f>
        <v/>
      </c>
    </row>
    <row r="27" spans="2:14" x14ac:dyDescent="0.25">
      <c r="B27">
        <f>IF(ISBLANK(C27),"",SUBTOTAL(3, $C$3:C27))</f>
        <v>25</v>
      </c>
      <c r="C27" s="39" t="s">
        <v>49</v>
      </c>
      <c r="H27">
        <v>25</v>
      </c>
      <c r="I27" s="37" t="s">
        <v>63</v>
      </c>
      <c r="J27" s="38">
        <v>3</v>
      </c>
      <c r="L27" t="str">
        <f>IF(ISBLANK(M27),"",SUBTOTAL(3, $M$3:M27))</f>
        <v/>
      </c>
    </row>
    <row r="28" spans="2:14" x14ac:dyDescent="0.25">
      <c r="B28">
        <f>IF(ISBLANK(C28),"",SUBTOTAL(3, $C$3:C28))</f>
        <v>26</v>
      </c>
      <c r="C28" s="39" t="s">
        <v>8</v>
      </c>
      <c r="H28">
        <v>26</v>
      </c>
      <c r="I28" s="37" t="s">
        <v>55</v>
      </c>
      <c r="J28" s="38">
        <v>600</v>
      </c>
    </row>
    <row r="29" spans="2:14" x14ac:dyDescent="0.25">
      <c r="B29">
        <f>IF(ISBLANK(C29),"",SUBTOTAL(3, $C$3:C29))</f>
        <v>27</v>
      </c>
      <c r="C29" s="39" t="s">
        <v>74</v>
      </c>
      <c r="H29">
        <v>30</v>
      </c>
      <c r="I29" s="37" t="s">
        <v>76</v>
      </c>
      <c r="J29" s="38">
        <v>650</v>
      </c>
    </row>
    <row r="30" spans="2:14" x14ac:dyDescent="0.25">
      <c r="B30">
        <f>IF(ISBLANK(C30),"",SUBTOTAL(3, $C$3:C30))</f>
        <v>28</v>
      </c>
      <c r="C30" s="39" t="s">
        <v>16</v>
      </c>
      <c r="H30">
        <v>32</v>
      </c>
      <c r="I30" s="37" t="s">
        <v>78</v>
      </c>
      <c r="J30" s="38">
        <v>700</v>
      </c>
    </row>
    <row r="31" spans="2:14" x14ac:dyDescent="0.25">
      <c r="B31">
        <f>IF(ISBLANK(C31),"",SUBTOTAL(3, $C$3:C31))</f>
        <v>29</v>
      </c>
      <c r="C31" s="39" t="s">
        <v>65</v>
      </c>
      <c r="H31">
        <v>31</v>
      </c>
      <c r="I31" s="37" t="s">
        <v>77</v>
      </c>
      <c r="J31" s="38">
        <v>750</v>
      </c>
    </row>
    <row r="32" spans="2:14" x14ac:dyDescent="0.25">
      <c r="B32">
        <f>IF(ISBLANK(C32),"",SUBTOTAL(3, $C$3:C32))</f>
        <v>30</v>
      </c>
      <c r="C32" s="39" t="s">
        <v>24</v>
      </c>
      <c r="H32">
        <v>27</v>
      </c>
      <c r="I32" s="37" t="s">
        <v>39</v>
      </c>
      <c r="J32" s="38">
        <v>800</v>
      </c>
    </row>
    <row r="33" spans="2:10" x14ac:dyDescent="0.25">
      <c r="B33">
        <f>IF(ISBLANK(C33),"",SUBTOTAL(3, $C$3:C33))</f>
        <v>31</v>
      </c>
      <c r="C33" s="39" t="s">
        <v>10</v>
      </c>
      <c r="H33">
        <v>28</v>
      </c>
      <c r="I33" s="37" t="s">
        <v>40</v>
      </c>
      <c r="J33" s="38">
        <v>925</v>
      </c>
    </row>
    <row r="34" spans="2:10" x14ac:dyDescent="0.25">
      <c r="B34">
        <f>IF(ISBLANK(C34),"",SUBTOTAL(3, $C$3:C34))</f>
        <v>32</v>
      </c>
      <c r="C34" s="39" t="s">
        <v>72</v>
      </c>
      <c r="H34">
        <v>29</v>
      </c>
      <c r="I34" s="37" t="s">
        <v>42</v>
      </c>
      <c r="J34" s="38">
        <v>1000</v>
      </c>
    </row>
    <row r="35" spans="2:10" x14ac:dyDescent="0.25">
      <c r="B35">
        <f>IF(ISBLANK(C35),"",SUBTOTAL(3, $C$3:C35))</f>
        <v>33</v>
      </c>
      <c r="C35" s="39" t="s">
        <v>53</v>
      </c>
      <c r="H35">
        <v>33</v>
      </c>
      <c r="I35" s="37"/>
      <c r="J35" s="38"/>
    </row>
    <row r="36" spans="2:10" x14ac:dyDescent="0.25">
      <c r="B36">
        <f>IF(ISBLANK(C36),"",SUBTOTAL(3, $C$3:C36))</f>
        <v>34</v>
      </c>
      <c r="C36" s="39" t="s">
        <v>33</v>
      </c>
      <c r="H36" t="str">
        <f>IF(ISBLANK(I36),"",SUBTOTAL(3, $I$3:I40))</f>
        <v/>
      </c>
      <c r="I36" s="37"/>
      <c r="J36" s="38"/>
    </row>
    <row r="37" spans="2:10" x14ac:dyDescent="0.25">
      <c r="B37">
        <f>IF(ISBLANK(C37),"",SUBTOTAL(3, $C$3:C37))</f>
        <v>35</v>
      </c>
      <c r="C37" s="39" t="s">
        <v>13</v>
      </c>
      <c r="H37" t="str">
        <f>IF(ISBLANK(I37),"",SUBTOTAL(3, $I$3:I40))</f>
        <v/>
      </c>
      <c r="I37" s="37"/>
      <c r="J37" s="38"/>
    </row>
    <row r="38" spans="2:10" x14ac:dyDescent="0.25">
      <c r="B38">
        <f>IF(ISBLANK(C38),"",SUBTOTAL(3, $C$3:C38))</f>
        <v>36</v>
      </c>
      <c r="C38" s="39" t="s">
        <v>75</v>
      </c>
      <c r="H38" t="str">
        <f>IF(ISBLANK(I38),"",SUBTOTAL(3, $I$3:I40))</f>
        <v/>
      </c>
      <c r="I38" s="37"/>
      <c r="J38" s="38"/>
    </row>
    <row r="39" spans="2:10" x14ac:dyDescent="0.25">
      <c r="B39">
        <f>IF(ISBLANK(C39),"",SUBTOTAL(3, $C$3:C39))</f>
        <v>37</v>
      </c>
      <c r="C39" s="39" t="s">
        <v>23</v>
      </c>
      <c r="H39" t="str">
        <f>IF(ISBLANK(I39),"",SUBTOTAL(3, $I$3:I40))</f>
        <v/>
      </c>
      <c r="I39" s="37"/>
      <c r="J39" s="38"/>
    </row>
    <row r="40" spans="2:10" x14ac:dyDescent="0.25">
      <c r="B40">
        <f>IF(ISBLANK(C40),"",SUBTOTAL(3, $C$3:C40))</f>
        <v>38</v>
      </c>
      <c r="C40" s="39" t="s">
        <v>30</v>
      </c>
      <c r="H40" t="str">
        <f>IF(ISBLANK(I40),"",SUBTOTAL(3, $I$3:I40))</f>
        <v/>
      </c>
      <c r="I40" s="37"/>
      <c r="J40" s="38"/>
    </row>
    <row r="41" spans="2:10" x14ac:dyDescent="0.25">
      <c r="B41">
        <f>IF(ISBLANK(C41),"",SUBTOTAL(3, $C$3:C41))</f>
        <v>39</v>
      </c>
      <c r="C41" s="39" t="s">
        <v>47</v>
      </c>
    </row>
    <row r="42" spans="2:10" x14ac:dyDescent="0.25">
      <c r="B42">
        <f>IF(ISBLANK(C42),"",SUBTOTAL(3, $C$3:C42))</f>
        <v>40</v>
      </c>
      <c r="C42" s="39" t="s">
        <v>5</v>
      </c>
    </row>
    <row r="43" spans="2:10" x14ac:dyDescent="0.25">
      <c r="B43">
        <f>IF(ISBLANK(C43),"",SUBTOTAL(3, $C$3:C43))</f>
        <v>41</v>
      </c>
      <c r="C43" s="39" t="s">
        <v>32</v>
      </c>
    </row>
    <row r="44" spans="2:10" x14ac:dyDescent="0.25">
      <c r="B44">
        <f>IF(ISBLANK(C44),"",SUBTOTAL(3, $C$3:C44))</f>
        <v>42</v>
      </c>
      <c r="C44" s="39" t="s">
        <v>14</v>
      </c>
    </row>
    <row r="45" spans="2:10" x14ac:dyDescent="0.25">
      <c r="B45">
        <f>IF(ISBLANK(C45),"",SUBTOTAL(3, $C$3:C45))</f>
        <v>43</v>
      </c>
      <c r="C45" s="39" t="s">
        <v>11</v>
      </c>
    </row>
    <row r="46" spans="2:10" x14ac:dyDescent="0.25">
      <c r="B46">
        <f>IF(ISBLANK(C46),"",SUBTOTAL(3, $C$3:C46))</f>
        <v>44</v>
      </c>
      <c r="C46" s="39" t="s">
        <v>26</v>
      </c>
    </row>
    <row r="47" spans="2:10" x14ac:dyDescent="0.25">
      <c r="B47">
        <f>IF(ISBLANK(C47),"",SUBTOTAL(3, $C$3:C47))</f>
        <v>45</v>
      </c>
      <c r="C47" s="39" t="s">
        <v>79</v>
      </c>
    </row>
    <row r="48" spans="2:10" x14ac:dyDescent="0.25">
      <c r="B48">
        <f>IF(ISBLANK(C48),"",SUBTOTAL(3, $C$3:C48))</f>
        <v>46</v>
      </c>
      <c r="C48" s="39" t="s">
        <v>12</v>
      </c>
    </row>
    <row r="49" spans="2:3" x14ac:dyDescent="0.25">
      <c r="B49">
        <f>IF(ISBLANK(C49),"",SUBTOTAL(3, $C$3:C49))</f>
        <v>47</v>
      </c>
      <c r="C49" s="39" t="s">
        <v>67</v>
      </c>
    </row>
    <row r="50" spans="2:3" x14ac:dyDescent="0.25">
      <c r="B50">
        <f>IF(ISBLANK(C50),"",SUBTOTAL(3, $C$3:C50))</f>
        <v>48</v>
      </c>
      <c r="C50" s="39" t="s">
        <v>71</v>
      </c>
    </row>
    <row r="51" spans="2:3" x14ac:dyDescent="0.25">
      <c r="B51">
        <f>IF(ISBLANK(C51),"",SUBTOTAL(3, $C$3:C51))</f>
        <v>49</v>
      </c>
      <c r="C51" s="39" t="s">
        <v>66</v>
      </c>
    </row>
    <row r="52" spans="2:3" x14ac:dyDescent="0.25">
      <c r="B52" t="str">
        <f>IF(ISBLANK(C52),"",SUBTOTAL(3, $C$3:C60))</f>
        <v/>
      </c>
      <c r="C52" s="39"/>
    </row>
    <row r="53" spans="2:3" x14ac:dyDescent="0.25">
      <c r="B53" t="str">
        <f>IF(ISBLANK(C53),"",SUBTOTAL(3, $C$3:C60))</f>
        <v/>
      </c>
      <c r="C53" s="39"/>
    </row>
    <row r="54" spans="2:3" x14ac:dyDescent="0.25">
      <c r="B54" t="str">
        <f>IF(ISBLANK(C54),"",SUBTOTAL(3, $C$3:C60))</f>
        <v/>
      </c>
      <c r="C54" s="39"/>
    </row>
    <row r="55" spans="2:3" x14ac:dyDescent="0.25">
      <c r="B55" t="str">
        <f>IF(ISBLANK(C55),"",SUBTOTAL(3, $C$3:C60))</f>
        <v/>
      </c>
      <c r="C55" s="39"/>
    </row>
    <row r="56" spans="2:3" x14ac:dyDescent="0.25">
      <c r="B56" t="str">
        <f>IF(ISBLANK(C56),"",SUBTOTAL(3, $C$3:C60))</f>
        <v/>
      </c>
      <c r="C56" s="39"/>
    </row>
    <row r="57" spans="2:3" x14ac:dyDescent="0.25">
      <c r="B57" t="str">
        <f>IF(ISBLANK(C57),"",SUBTOTAL(3, $C$3:C60))</f>
        <v/>
      </c>
      <c r="C57" s="39"/>
    </row>
    <row r="58" spans="2:3" x14ac:dyDescent="0.25">
      <c r="B58" t="str">
        <f>IF(ISBLANK(C58),"",SUBTOTAL(3, $C$3:C60))</f>
        <v/>
      </c>
      <c r="C58" s="39"/>
    </row>
    <row r="59" spans="2:3" x14ac:dyDescent="0.25">
      <c r="B59" t="str">
        <f>IF(ISBLANK(C59),"",SUBTOTAL(3, $C$3:C60))</f>
        <v/>
      </c>
      <c r="C59" s="39"/>
    </row>
    <row r="60" spans="2:3" x14ac:dyDescent="0.25">
      <c r="B60" t="str">
        <f>IF(ISBLANK(C60),"",SUBTOTAL(3, $C$3:C60))</f>
        <v/>
      </c>
      <c r="C60" s="39"/>
    </row>
  </sheetData>
  <pageMargins left="0.7" right="0.7" top="0.75" bottom="0.75" header="0.3" footer="0.3"/>
  <pageSetup paperSize="9" orientation="portrait"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E6363-B88A-43E5-9D2B-2EC07E0116BC}">
  <sheetPr codeName="Sayfa2">
    <tabColor rgb="FF0070C0"/>
  </sheetPr>
  <dimension ref="B1:I113"/>
  <sheetViews>
    <sheetView zoomScaleNormal="100" workbookViewId="0">
      <pane ySplit="2" topLeftCell="A3" activePane="bottomLeft" state="frozen"/>
      <selection activeCell="F31" sqref="F31"/>
      <selection pane="bottomLeft" activeCell="N111" sqref="N111"/>
    </sheetView>
  </sheetViews>
  <sheetFormatPr defaultRowHeight="15" x14ac:dyDescent="0.25"/>
  <cols>
    <col min="1" max="1" width="2.7109375" customWidth="1"/>
    <col min="2" max="2" width="3.85546875" style="3" customWidth="1"/>
    <col min="3" max="3" width="18.42578125" style="52" customWidth="1"/>
    <col min="4" max="4" width="8.85546875" style="52" bestFit="1" customWidth="1"/>
    <col min="5" max="5" width="5.5703125" style="52" customWidth="1"/>
    <col min="6" max="6" width="4.28515625" style="52" customWidth="1"/>
    <col min="7" max="7" width="8.42578125" style="3" customWidth="1"/>
    <col min="8" max="8" width="9.28515625" style="3" customWidth="1"/>
    <col min="9" max="9" width="9.7109375" bestFit="1" customWidth="1"/>
    <col min="10" max="10" width="7.28515625" customWidth="1"/>
  </cols>
  <sheetData>
    <row r="1" spans="2:9" ht="90.6" customHeight="1" thickBot="1" x14ac:dyDescent="0.3"/>
    <row r="2" spans="2:9" ht="46.15" customHeight="1" thickTop="1" thickBot="1" x14ac:dyDescent="0.3">
      <c r="B2" s="40" t="s">
        <v>19</v>
      </c>
      <c r="C2" s="41" t="s">
        <v>18</v>
      </c>
      <c r="D2" s="42" t="s">
        <v>52</v>
      </c>
      <c r="E2" s="43" t="s">
        <v>0</v>
      </c>
      <c r="F2" s="44" t="s">
        <v>1</v>
      </c>
      <c r="G2" s="53" t="s">
        <v>2</v>
      </c>
      <c r="H2" s="47" t="s">
        <v>3</v>
      </c>
      <c r="I2" s="15" t="s">
        <v>44</v>
      </c>
    </row>
    <row r="3" spans="2:9" ht="16.5" thickTop="1" thickBot="1" x14ac:dyDescent="0.3">
      <c r="B3" s="16">
        <f>IF(ISBLANK(C3),"",SUBTOTAL(3, $C$3:C3))</f>
        <v>1</v>
      </c>
      <c r="C3" s="32" t="s">
        <v>6</v>
      </c>
      <c r="D3" s="17" t="s">
        <v>4</v>
      </c>
      <c r="E3" s="18">
        <v>200</v>
      </c>
      <c r="F3" s="18">
        <v>6</v>
      </c>
      <c r="G3" s="45">
        <f>IF(ISBLANK(Sacak[[#This Row],[ÖLÇÜSÜ]]),"",VLOOKUP(Sacak[[#This Row],[ÖLÇÜSÜ]],Fiyat[[Ölçü]:[Birim Fiyatı]],2,0))</f>
        <v>365</v>
      </c>
      <c r="H3" s="45">
        <f>IF(ISBLANK(Sacak[[#This Row],[ÖLÇÜSÜ]]),"",F3*G3)</f>
        <v>2190</v>
      </c>
      <c r="I3" s="46">
        <f>IF(ISBLANK(Sacak[[#This Row],[ÖLÇÜSÜ]]),"",SUMIF(Sacak[Adı Soyadı],Sacak[[#This Row],[Adı Soyadı]],Sacak[TUTAR]))</f>
        <v>11670</v>
      </c>
    </row>
    <row r="4" spans="2:9" ht="16.5" thickTop="1" thickBot="1" x14ac:dyDescent="0.3">
      <c r="B4" s="16">
        <f>IF(ISBLANK(C4),"",SUBTOTAL(3, $C$3:C4))</f>
        <v>2</v>
      </c>
      <c r="C4" s="32" t="s">
        <v>6</v>
      </c>
      <c r="D4" s="17" t="s">
        <v>4</v>
      </c>
      <c r="E4" s="18">
        <v>170</v>
      </c>
      <c r="F4" s="18">
        <v>7</v>
      </c>
      <c r="G4" s="45">
        <f>IF(ISBLANK(Sacak[[#This Row],[ÖLÇÜSÜ]]),"",VLOOKUP(Sacak[[#This Row],[ÖLÇÜSÜ]],Fiyat[[Ölçü]:[Birim Fiyatı]],2,0))</f>
        <v>320</v>
      </c>
      <c r="H4" s="45">
        <f>IF(ISBLANK(Sacak[[#This Row],[ÖLÇÜSÜ]]),"",F4*G4)</f>
        <v>2240</v>
      </c>
      <c r="I4" s="46">
        <f>IF(ISBLANK(Sacak[[#This Row],[ÖLÇÜSÜ]]),"",SUMIF(Sacak[Adı Soyadı],Sacak[[#This Row],[Adı Soyadı]],Sacak[TUTAR]))</f>
        <v>11670</v>
      </c>
    </row>
    <row r="5" spans="2:9" ht="16.5" thickTop="1" thickBot="1" x14ac:dyDescent="0.3">
      <c r="B5" s="16">
        <f>IF(ISBLANK(C5),"",SUBTOTAL(3, $C$3:C5))</f>
        <v>3</v>
      </c>
      <c r="C5" s="32" t="s">
        <v>6</v>
      </c>
      <c r="D5" s="17" t="s">
        <v>4</v>
      </c>
      <c r="E5" s="18">
        <v>130</v>
      </c>
      <c r="F5" s="18">
        <v>1</v>
      </c>
      <c r="G5" s="45">
        <f>IF(ISBLANK(Sacak[[#This Row],[ÖLÇÜSÜ]]),"",VLOOKUP(Sacak[[#This Row],[ÖLÇÜSÜ]],Fiyat[[Ölçü]:[Birim Fiyatı]],2,0))</f>
        <v>245</v>
      </c>
      <c r="H5" s="45">
        <f>IF(ISBLANK(Sacak[[#This Row],[ÖLÇÜSÜ]]),"",F5*G5)</f>
        <v>245</v>
      </c>
      <c r="I5" s="46">
        <f>IF(ISBLANK(Sacak[[#This Row],[ÖLÇÜSÜ]]),"",SUMIF(Sacak[Adı Soyadı],Sacak[[#This Row],[Adı Soyadı]],Sacak[TUTAR]))</f>
        <v>11670</v>
      </c>
    </row>
    <row r="6" spans="2:9" ht="16.5" thickTop="1" thickBot="1" x14ac:dyDescent="0.3">
      <c r="B6" s="16">
        <f>IF(ISBLANK(C6),"",SUBTOTAL(3, $C$3:C6))</f>
        <v>4</v>
      </c>
      <c r="C6" s="32" t="s">
        <v>6</v>
      </c>
      <c r="D6" s="17" t="s">
        <v>4</v>
      </c>
      <c r="E6" s="18">
        <v>90</v>
      </c>
      <c r="F6" s="18">
        <v>5</v>
      </c>
      <c r="G6" s="45">
        <f>IF(ISBLANK(Sacak[[#This Row],[ÖLÇÜSÜ]]),"",VLOOKUP(Sacak[[#This Row],[ÖLÇÜSÜ]],Fiyat[[Ölçü]:[Birim Fiyatı]],2,0))</f>
        <v>170</v>
      </c>
      <c r="H6" s="45">
        <f>IF(ISBLANK(Sacak[[#This Row],[ÖLÇÜSÜ]]),"",F6*G6)</f>
        <v>850</v>
      </c>
      <c r="I6" s="46">
        <f>IF(ISBLANK(Sacak[[#This Row],[ÖLÇÜSÜ]]),"",SUMIF(Sacak[Adı Soyadı],Sacak[[#This Row],[Adı Soyadı]],Sacak[TUTAR]))</f>
        <v>11670</v>
      </c>
    </row>
    <row r="7" spans="2:9" ht="16.5" thickTop="1" thickBot="1" x14ac:dyDescent="0.3">
      <c r="B7" s="16">
        <f>IF(ISBLANK(C7),"",SUBTOTAL(3, $C$3:C7))</f>
        <v>5</v>
      </c>
      <c r="C7" s="32" t="s">
        <v>6</v>
      </c>
      <c r="D7" s="17" t="s">
        <v>4</v>
      </c>
      <c r="E7" s="18" t="s">
        <v>42</v>
      </c>
      <c r="F7" s="18">
        <v>1</v>
      </c>
      <c r="G7" s="45">
        <f>IF(ISBLANK(Sacak[[#This Row],[ÖLÇÜSÜ]]),"",VLOOKUP(Sacak[[#This Row],[ÖLÇÜSÜ]],Fiyat[[Ölçü]:[Birim Fiyatı]],2,0))</f>
        <v>1000</v>
      </c>
      <c r="H7" s="45">
        <f>IF(ISBLANK(Sacak[[#This Row],[ÖLÇÜSÜ]]),"",F7*G7)</f>
        <v>1000</v>
      </c>
      <c r="I7" s="46">
        <f>IF(ISBLANK(Sacak[[#This Row],[ÖLÇÜSÜ]]),"",SUMIF(Sacak[Adı Soyadı],Sacak[[#This Row],[Adı Soyadı]],Sacak[TUTAR]))</f>
        <v>11670</v>
      </c>
    </row>
    <row r="8" spans="2:9" ht="16.5" thickTop="1" thickBot="1" x14ac:dyDescent="0.3">
      <c r="B8" s="16">
        <f>IF(ISBLANK(C8),"",SUBTOTAL(3, $C$3:C8))</f>
        <v>6</v>
      </c>
      <c r="C8" s="32" t="s">
        <v>6</v>
      </c>
      <c r="D8" s="17" t="s">
        <v>4</v>
      </c>
      <c r="E8" s="18" t="s">
        <v>39</v>
      </c>
      <c r="F8" s="18">
        <v>1</v>
      </c>
      <c r="G8" s="45">
        <f>IF(ISBLANK(Sacak[[#This Row],[ÖLÇÜSÜ]]),"",VLOOKUP(Sacak[[#This Row],[ÖLÇÜSÜ]],Fiyat[[Ölçü]:[Birim Fiyatı]],2,0))</f>
        <v>800</v>
      </c>
      <c r="H8" s="45">
        <f>IF(ISBLANK(Sacak[[#This Row],[ÖLÇÜSÜ]]),"",F8*G8)</f>
        <v>800</v>
      </c>
      <c r="I8" s="46">
        <f>IF(ISBLANK(Sacak[[#This Row],[ÖLÇÜSÜ]]),"",SUMIF(Sacak[Adı Soyadı],Sacak[[#This Row],[Adı Soyadı]],Sacak[TUTAR]))</f>
        <v>11670</v>
      </c>
    </row>
    <row r="9" spans="2:9" ht="16.5" thickTop="1" thickBot="1" x14ac:dyDescent="0.3">
      <c r="B9" s="16">
        <f>IF(ISBLANK(C9),"",SUBTOTAL(3, $C$3:C9))</f>
        <v>7</v>
      </c>
      <c r="C9" s="32" t="s">
        <v>6</v>
      </c>
      <c r="D9" s="17" t="s">
        <v>4</v>
      </c>
      <c r="E9" s="18">
        <v>240</v>
      </c>
      <c r="F9" s="18">
        <v>1</v>
      </c>
      <c r="G9" s="45">
        <f>IF(ISBLANK(Sacak[[#This Row],[ÖLÇÜSÜ]]),"",VLOOKUP(Sacak[[#This Row],[ÖLÇÜSÜ]],Fiyat[[Ölçü]:[Birim Fiyatı]],2,0))</f>
        <v>445</v>
      </c>
      <c r="H9" s="45">
        <f>IF(ISBLANK(Sacak[[#This Row],[ÖLÇÜSÜ]]),"",F9*G9)</f>
        <v>445</v>
      </c>
      <c r="I9" s="46">
        <f>IF(ISBLANK(Sacak[[#This Row],[ÖLÇÜSÜ]]),"",SUMIF(Sacak[Adı Soyadı],Sacak[[#This Row],[Adı Soyadı]],Sacak[TUTAR]))</f>
        <v>11670</v>
      </c>
    </row>
    <row r="10" spans="2:9" ht="16.5" thickTop="1" thickBot="1" x14ac:dyDescent="0.3">
      <c r="B10" s="16">
        <f>IF(ISBLANK(C10),"",SUBTOTAL(3, $C$3:C10))</f>
        <v>8</v>
      </c>
      <c r="C10" s="32" t="s">
        <v>6</v>
      </c>
      <c r="D10" s="17" t="s">
        <v>7</v>
      </c>
      <c r="E10" s="18">
        <v>200</v>
      </c>
      <c r="F10" s="18">
        <v>6</v>
      </c>
      <c r="G10" s="45">
        <f>IF(ISBLANK(Sacak[[#This Row],[ÖLÇÜSÜ]]),"",VLOOKUP(Sacak[[#This Row],[ÖLÇÜSÜ]],Fiyat[[Ölçü]:[Birim Fiyatı]],2,0))</f>
        <v>365</v>
      </c>
      <c r="H10" s="45">
        <f>IF(ISBLANK(Sacak[[#This Row],[ÖLÇÜSÜ]]),"",F10*G10)</f>
        <v>2190</v>
      </c>
      <c r="I10" s="46">
        <f>IF(ISBLANK(Sacak[[#This Row],[ÖLÇÜSÜ]]),"",SUMIF(Sacak[Adı Soyadı],Sacak[[#This Row],[Adı Soyadı]],Sacak[TUTAR]))</f>
        <v>11670</v>
      </c>
    </row>
    <row r="11" spans="2:9" ht="16.5" thickTop="1" thickBot="1" x14ac:dyDescent="0.3">
      <c r="B11" s="16">
        <f>IF(ISBLANK(C11),"",SUBTOTAL(3, $C$3:C11))</f>
        <v>9</v>
      </c>
      <c r="C11" s="32" t="s">
        <v>6</v>
      </c>
      <c r="D11" s="17" t="s">
        <v>7</v>
      </c>
      <c r="E11" s="18">
        <v>160</v>
      </c>
      <c r="F11" s="18">
        <v>4</v>
      </c>
      <c r="G11" s="45">
        <f>IF(ISBLANK(Sacak[[#This Row],[ÖLÇÜSÜ]]),"",VLOOKUP(Sacak[[#This Row],[ÖLÇÜSÜ]],Fiyat[[Ölçü]:[Birim Fiyatı]],2,0))</f>
        <v>300</v>
      </c>
      <c r="H11" s="45">
        <f>IF(ISBLANK(Sacak[[#This Row],[ÖLÇÜSÜ]]),"",F11*G11)</f>
        <v>1200</v>
      </c>
      <c r="I11" s="46">
        <f>IF(ISBLANK(Sacak[[#This Row],[ÖLÇÜSÜ]]),"",SUMIF(Sacak[Adı Soyadı],Sacak[[#This Row],[Adı Soyadı]],Sacak[TUTAR]))</f>
        <v>11670</v>
      </c>
    </row>
    <row r="12" spans="2:9" ht="16.5" thickTop="1" thickBot="1" x14ac:dyDescent="0.3">
      <c r="B12" s="16">
        <f>IF(ISBLANK(C12),"",SUBTOTAL(3, $C$3:C12))</f>
        <v>10</v>
      </c>
      <c r="C12" s="32" t="s">
        <v>6</v>
      </c>
      <c r="D12" s="17" t="s">
        <v>7</v>
      </c>
      <c r="E12" s="18">
        <v>90</v>
      </c>
      <c r="F12" s="18">
        <v>3</v>
      </c>
      <c r="G12" s="45">
        <f>IF(ISBLANK(Sacak[[#This Row],[ÖLÇÜSÜ]]),"",VLOOKUP(Sacak[[#This Row],[ÖLÇÜSÜ]],Fiyat[[Ölçü]:[Birim Fiyatı]],2,0))</f>
        <v>170</v>
      </c>
      <c r="H12" s="45">
        <f>IF(ISBLANK(Sacak[[#This Row],[ÖLÇÜSÜ]]),"",F12*G12)</f>
        <v>510</v>
      </c>
      <c r="I12" s="46">
        <f>IF(ISBLANK(Sacak[[#This Row],[ÖLÇÜSÜ]]),"",SUMIF(Sacak[Adı Soyadı],Sacak[[#This Row],[Adı Soyadı]],Sacak[TUTAR]))</f>
        <v>11670</v>
      </c>
    </row>
    <row r="13" spans="2:9" ht="16.5" thickTop="1" thickBot="1" x14ac:dyDescent="0.3">
      <c r="B13" s="16">
        <f>IF(ISBLANK(C13),"",SUBTOTAL(3, $C$3:C13))</f>
        <v>11</v>
      </c>
      <c r="C13" s="32" t="s">
        <v>10</v>
      </c>
      <c r="D13" s="17" t="s">
        <v>4</v>
      </c>
      <c r="E13" s="18">
        <v>200</v>
      </c>
      <c r="F13" s="18">
        <v>12</v>
      </c>
      <c r="G13" s="45">
        <f>IF(ISBLANK(Sacak[[#This Row],[ÖLÇÜSÜ]]),"",VLOOKUP(Sacak[[#This Row],[ÖLÇÜSÜ]],Fiyat[[Ölçü]:[Birim Fiyatı]],2,0))</f>
        <v>365</v>
      </c>
      <c r="H13" s="45">
        <f>IF(ISBLANK(Sacak[[#This Row],[ÖLÇÜSÜ]]),"",F13*G13)</f>
        <v>4380</v>
      </c>
      <c r="I13" s="46">
        <f>IF(ISBLANK(Sacak[[#This Row],[ÖLÇÜSÜ]]),"",SUMIF(Sacak[Adı Soyadı],Sacak[[#This Row],[Adı Soyadı]],Sacak[TUTAR]))</f>
        <v>14135</v>
      </c>
    </row>
    <row r="14" spans="2:9" ht="16.5" thickTop="1" thickBot="1" x14ac:dyDescent="0.3">
      <c r="B14" s="16">
        <f>IF(ISBLANK(C14),"",SUBTOTAL(3, $C$3:C14))</f>
        <v>12</v>
      </c>
      <c r="C14" s="32" t="s">
        <v>10</v>
      </c>
      <c r="D14" s="17" t="s">
        <v>4</v>
      </c>
      <c r="E14" s="18">
        <v>170</v>
      </c>
      <c r="F14" s="18">
        <v>8</v>
      </c>
      <c r="G14" s="45">
        <f>IF(ISBLANK(Sacak[[#This Row],[ÖLÇÜSÜ]]),"",VLOOKUP(Sacak[[#This Row],[ÖLÇÜSÜ]],Fiyat[[Ölçü]:[Birim Fiyatı]],2,0))</f>
        <v>320</v>
      </c>
      <c r="H14" s="45">
        <f>IF(ISBLANK(Sacak[[#This Row],[ÖLÇÜSÜ]]),"",F14*G14)</f>
        <v>2560</v>
      </c>
      <c r="I14" s="46">
        <f>IF(ISBLANK(Sacak[[#This Row],[ÖLÇÜSÜ]]),"",SUMIF(Sacak[Adı Soyadı],Sacak[[#This Row],[Adı Soyadı]],Sacak[TUTAR]))</f>
        <v>14135</v>
      </c>
    </row>
    <row r="15" spans="2:9" ht="16.5" thickTop="1" thickBot="1" x14ac:dyDescent="0.3">
      <c r="B15" s="16">
        <f>IF(ISBLANK(C15),"",SUBTOTAL(3, $C$3:C15))</f>
        <v>13</v>
      </c>
      <c r="C15" s="32" t="s">
        <v>10</v>
      </c>
      <c r="D15" s="17" t="s">
        <v>4</v>
      </c>
      <c r="E15" s="18">
        <v>130</v>
      </c>
      <c r="F15" s="18">
        <v>4</v>
      </c>
      <c r="G15" s="45">
        <f>IF(ISBLANK(Sacak[[#This Row],[ÖLÇÜSÜ]]),"",VLOOKUP(Sacak[[#This Row],[ÖLÇÜSÜ]],Fiyat[[Ölçü]:[Birim Fiyatı]],2,0))</f>
        <v>245</v>
      </c>
      <c r="H15" s="45">
        <f>IF(ISBLANK(Sacak[[#This Row],[ÖLÇÜSÜ]]),"",F15*G15)</f>
        <v>980</v>
      </c>
      <c r="I15" s="46">
        <f>IF(ISBLANK(Sacak[[#This Row],[ÖLÇÜSÜ]]),"",SUMIF(Sacak[Adı Soyadı],Sacak[[#This Row],[Adı Soyadı]],Sacak[TUTAR]))</f>
        <v>14135</v>
      </c>
    </row>
    <row r="16" spans="2:9" ht="16.5" thickTop="1" thickBot="1" x14ac:dyDescent="0.3">
      <c r="B16" s="16">
        <f>IF(ISBLANK(C16),"",SUBTOTAL(3, $C$3:C16))</f>
        <v>14</v>
      </c>
      <c r="C16" s="32" t="s">
        <v>10</v>
      </c>
      <c r="D16" s="17" t="s">
        <v>4</v>
      </c>
      <c r="E16" s="18" t="s">
        <v>39</v>
      </c>
      <c r="F16" s="18">
        <v>3</v>
      </c>
      <c r="G16" s="45">
        <f>IF(ISBLANK(Sacak[[#This Row],[ÖLÇÜSÜ]]),"",VLOOKUP(Sacak[[#This Row],[ÖLÇÜSÜ]],Fiyat[[Ölçü]:[Birim Fiyatı]],2,0))</f>
        <v>800</v>
      </c>
      <c r="H16" s="45">
        <f>IF(ISBLANK(Sacak[[#This Row],[ÖLÇÜSÜ]]),"",F16*G16)</f>
        <v>2400</v>
      </c>
      <c r="I16" s="46">
        <f>IF(ISBLANK(Sacak[[#This Row],[ÖLÇÜSÜ]]),"",SUMIF(Sacak[Adı Soyadı],Sacak[[#This Row],[Adı Soyadı]],Sacak[TUTAR]))</f>
        <v>14135</v>
      </c>
    </row>
    <row r="17" spans="2:9" ht="16.5" thickTop="1" thickBot="1" x14ac:dyDescent="0.3">
      <c r="B17" s="16">
        <f>IF(ISBLANK(C17),"",SUBTOTAL(3, $C$3:C17))</f>
        <v>15</v>
      </c>
      <c r="C17" s="32" t="s">
        <v>10</v>
      </c>
      <c r="D17" s="17" t="s">
        <v>4</v>
      </c>
      <c r="E17" s="18">
        <v>300</v>
      </c>
      <c r="F17" s="18">
        <v>2</v>
      </c>
      <c r="G17" s="45">
        <f>IF(ISBLANK(Sacak[[#This Row],[ÖLÇÜSÜ]]),"",VLOOKUP(Sacak[[#This Row],[ÖLÇÜSÜ]],Fiyat[[Ölçü]:[Birim Fiyatı]],2,0))</f>
        <v>570</v>
      </c>
      <c r="H17" s="45">
        <f>IF(ISBLANK(Sacak[[#This Row],[ÖLÇÜSÜ]]),"",F17*G17)</f>
        <v>1140</v>
      </c>
      <c r="I17" s="46">
        <f>IF(ISBLANK(Sacak[[#This Row],[ÖLÇÜSÜ]]),"",SUMIF(Sacak[Adı Soyadı],Sacak[[#This Row],[Adı Soyadı]],Sacak[TUTAR]))</f>
        <v>14135</v>
      </c>
    </row>
    <row r="18" spans="2:9" ht="16.5" thickTop="1" thickBot="1" x14ac:dyDescent="0.3">
      <c r="B18" s="16">
        <f>IF(ISBLANK(C18),"",SUBTOTAL(3, $C$3:C18))</f>
        <v>16</v>
      </c>
      <c r="C18" s="32" t="s">
        <v>10</v>
      </c>
      <c r="D18" s="17" t="s">
        <v>4</v>
      </c>
      <c r="E18" s="18">
        <v>80</v>
      </c>
      <c r="F18" s="18">
        <v>1</v>
      </c>
      <c r="G18" s="45">
        <f>IF(ISBLANK(Sacak[[#This Row],[ÖLÇÜSÜ]]),"",VLOOKUP(Sacak[[#This Row],[ÖLÇÜSÜ]],Fiyat[[Ölçü]:[Birim Fiyatı]],2,0))</f>
        <v>150</v>
      </c>
      <c r="H18" s="45">
        <f>IF(ISBLANK(Sacak[[#This Row],[ÖLÇÜSÜ]]),"",F18*G18)</f>
        <v>150</v>
      </c>
      <c r="I18" s="46">
        <f>IF(ISBLANK(Sacak[[#This Row],[ÖLÇÜSÜ]]),"",SUMIF(Sacak[Adı Soyadı],Sacak[[#This Row],[Adı Soyadı]],Sacak[TUTAR]))</f>
        <v>14135</v>
      </c>
    </row>
    <row r="19" spans="2:9" ht="16.5" thickTop="1" thickBot="1" x14ac:dyDescent="0.3">
      <c r="B19" s="16">
        <f>IF(ISBLANK(C19),"",SUBTOTAL(3, $C$3:C19))</f>
        <v>17</v>
      </c>
      <c r="C19" s="32" t="s">
        <v>10</v>
      </c>
      <c r="D19" s="17" t="s">
        <v>4</v>
      </c>
      <c r="E19" s="18">
        <v>240</v>
      </c>
      <c r="F19" s="18">
        <v>1</v>
      </c>
      <c r="G19" s="45">
        <f>IF(ISBLANK(Sacak[[#This Row],[ÖLÇÜSÜ]]),"",VLOOKUP(Sacak[[#This Row],[ÖLÇÜSÜ]],Fiyat[[Ölçü]:[Birim Fiyatı]],2,0))</f>
        <v>445</v>
      </c>
      <c r="H19" s="45">
        <f>IF(ISBLANK(Sacak[[#This Row],[ÖLÇÜSÜ]]),"",F19*G19)</f>
        <v>445</v>
      </c>
      <c r="I19" s="46">
        <f>IF(ISBLANK(Sacak[[#This Row],[ÖLÇÜSÜ]]),"",SUMIF(Sacak[Adı Soyadı],Sacak[[#This Row],[Adı Soyadı]],Sacak[TUTAR]))</f>
        <v>14135</v>
      </c>
    </row>
    <row r="20" spans="2:9" ht="16.5" thickTop="1" thickBot="1" x14ac:dyDescent="0.3">
      <c r="B20" s="16">
        <f>IF(ISBLANK(C20),"",SUBTOTAL(3, $C$3:C20))</f>
        <v>18</v>
      </c>
      <c r="C20" s="32" t="s">
        <v>10</v>
      </c>
      <c r="D20" s="17" t="s">
        <v>7</v>
      </c>
      <c r="E20" s="18">
        <v>200</v>
      </c>
      <c r="F20" s="18">
        <v>1</v>
      </c>
      <c r="G20" s="45">
        <f>IF(ISBLANK(Sacak[[#This Row],[ÖLÇÜSÜ]]),"",VLOOKUP(Sacak[[#This Row],[ÖLÇÜSÜ]],Fiyat[[Ölçü]:[Birim Fiyatı]],2,0))</f>
        <v>365</v>
      </c>
      <c r="H20" s="45">
        <f>IF(ISBLANK(Sacak[[#This Row],[ÖLÇÜSÜ]]),"",F20*G20)</f>
        <v>365</v>
      </c>
      <c r="I20" s="46">
        <f>IF(ISBLANK(Sacak[[#This Row],[ÖLÇÜSÜ]]),"",SUMIF(Sacak[Adı Soyadı],Sacak[[#This Row],[Adı Soyadı]],Sacak[TUTAR]))</f>
        <v>14135</v>
      </c>
    </row>
    <row r="21" spans="2:9" ht="16.5" thickTop="1" thickBot="1" x14ac:dyDescent="0.3">
      <c r="B21" s="16">
        <f>IF(ISBLANK(C21),"",SUBTOTAL(3, $C$3:C21))</f>
        <v>19</v>
      </c>
      <c r="C21" s="32" t="s">
        <v>10</v>
      </c>
      <c r="D21" s="17" t="s">
        <v>7</v>
      </c>
      <c r="E21" s="18">
        <v>130</v>
      </c>
      <c r="F21" s="18">
        <v>7</v>
      </c>
      <c r="G21" s="45">
        <f>IF(ISBLANK(Sacak[[#This Row],[ÖLÇÜSÜ]]),"",VLOOKUP(Sacak[[#This Row],[ÖLÇÜSÜ]],Fiyat[[Ölçü]:[Birim Fiyatı]],2,0))</f>
        <v>245</v>
      </c>
      <c r="H21" s="45">
        <f>IF(ISBLANK(Sacak[[#This Row],[ÖLÇÜSÜ]]),"",F21*G21)</f>
        <v>1715</v>
      </c>
      <c r="I21" s="46">
        <f>IF(ISBLANK(Sacak[[#This Row],[ÖLÇÜSÜ]]),"",SUMIF(Sacak[Adı Soyadı],Sacak[[#This Row],[Adı Soyadı]],Sacak[TUTAR]))</f>
        <v>14135</v>
      </c>
    </row>
    <row r="22" spans="2:9" ht="16.5" thickTop="1" thickBot="1" x14ac:dyDescent="0.3">
      <c r="B22" s="16">
        <f>IF(ISBLANK(C22),"",SUBTOTAL(3, $C$3:C22))</f>
        <v>20</v>
      </c>
      <c r="C22" s="32" t="s">
        <v>60</v>
      </c>
      <c r="D22" s="17" t="s">
        <v>4</v>
      </c>
      <c r="E22" s="18">
        <v>240</v>
      </c>
      <c r="F22" s="18">
        <v>1</v>
      </c>
      <c r="G22" s="45">
        <f>IF(ISBLANK(Sacak[[#This Row],[ÖLÇÜSÜ]]),"",VLOOKUP(Sacak[[#This Row],[ÖLÇÜSÜ]],Fiyat[[Ölçü]:[Birim Fiyatı]],2,0))</f>
        <v>445</v>
      </c>
      <c r="H22" s="45">
        <f>IF(ISBLANK(Sacak[[#This Row],[ÖLÇÜSÜ]]),"",F22*G22)</f>
        <v>445</v>
      </c>
      <c r="I22" s="46">
        <f>IF(ISBLANK(Sacak[[#This Row],[ÖLÇÜSÜ]]),"",SUMIF(Sacak[Adı Soyadı],Sacak[[#This Row],[Adı Soyadı]],Sacak[TUTAR]))</f>
        <v>2945</v>
      </c>
    </row>
    <row r="23" spans="2:9" ht="16.5" thickTop="1" thickBot="1" x14ac:dyDescent="0.3">
      <c r="B23" s="16">
        <f>IF(ISBLANK(C23),"",SUBTOTAL(3, $C$3:C23))</f>
        <v>21</v>
      </c>
      <c r="C23" s="32" t="s">
        <v>60</v>
      </c>
      <c r="D23" s="17" t="s">
        <v>4</v>
      </c>
      <c r="E23" s="18">
        <v>170</v>
      </c>
      <c r="F23" s="18">
        <v>4</v>
      </c>
      <c r="G23" s="45">
        <f>IF(ISBLANK(Sacak[[#This Row],[ÖLÇÜSÜ]]),"",VLOOKUP(Sacak[[#This Row],[ÖLÇÜSÜ]],Fiyat[[Ölçü]:[Birim Fiyatı]],2,0))</f>
        <v>320</v>
      </c>
      <c r="H23" s="45">
        <f>IF(ISBLANK(Sacak[[#This Row],[ÖLÇÜSÜ]]),"",F23*G23)</f>
        <v>1280</v>
      </c>
      <c r="I23" s="46">
        <f>IF(ISBLANK(Sacak[[#This Row],[ÖLÇÜSÜ]]),"",SUMIF(Sacak[Adı Soyadı],Sacak[[#This Row],[Adı Soyadı]],Sacak[TUTAR]))</f>
        <v>2945</v>
      </c>
    </row>
    <row r="24" spans="2:9" ht="16.5" thickTop="1" thickBot="1" x14ac:dyDescent="0.3">
      <c r="B24" s="16">
        <f>IF(ISBLANK(C24),"",SUBTOTAL(3, $C$3:C24))</f>
        <v>22</v>
      </c>
      <c r="C24" s="32" t="s">
        <v>60</v>
      </c>
      <c r="D24" s="17" t="s">
        <v>4</v>
      </c>
      <c r="E24" s="18">
        <v>90</v>
      </c>
      <c r="F24" s="18">
        <v>2</v>
      </c>
      <c r="G24" s="45">
        <f>IF(ISBLANK(Sacak[[#This Row],[ÖLÇÜSÜ]]),"",VLOOKUP(Sacak[[#This Row],[ÖLÇÜSÜ]],Fiyat[[Ölçü]:[Birim Fiyatı]],2,0))</f>
        <v>170</v>
      </c>
      <c r="H24" s="45">
        <f>IF(ISBLANK(Sacak[[#This Row],[ÖLÇÜSÜ]]),"",F24*G24)</f>
        <v>340</v>
      </c>
      <c r="I24" s="46">
        <f>IF(ISBLANK(Sacak[[#This Row],[ÖLÇÜSÜ]]),"",SUMIF(Sacak[Adı Soyadı],Sacak[[#This Row],[Adı Soyadı]],Sacak[TUTAR]))</f>
        <v>2945</v>
      </c>
    </row>
    <row r="25" spans="2:9" ht="16.5" thickTop="1" thickBot="1" x14ac:dyDescent="0.3">
      <c r="B25" s="16">
        <f>IF(ISBLANK(C25),"",SUBTOTAL(3, $C$3:C25))</f>
        <v>23</v>
      </c>
      <c r="C25" s="32" t="s">
        <v>60</v>
      </c>
      <c r="D25" s="17" t="s">
        <v>4</v>
      </c>
      <c r="E25" s="18">
        <v>80</v>
      </c>
      <c r="F25" s="18">
        <v>1</v>
      </c>
      <c r="G25" s="45">
        <f>IF(ISBLANK(Sacak[[#This Row],[ÖLÇÜSÜ]]),"",VLOOKUP(Sacak[[#This Row],[ÖLÇÜSÜ]],Fiyat[[Ölçü]:[Birim Fiyatı]],2,0))</f>
        <v>150</v>
      </c>
      <c r="H25" s="45">
        <f>IF(ISBLANK(Sacak[[#This Row],[ÖLÇÜSÜ]]),"",F25*G25)</f>
        <v>150</v>
      </c>
      <c r="I25" s="46">
        <f>IF(ISBLANK(Sacak[[#This Row],[ÖLÇÜSÜ]]),"",SUMIF(Sacak[Adı Soyadı],Sacak[[#This Row],[Adı Soyadı]],Sacak[TUTAR]))</f>
        <v>2945</v>
      </c>
    </row>
    <row r="26" spans="2:9" ht="16.5" thickTop="1" thickBot="1" x14ac:dyDescent="0.3">
      <c r="B26" s="16">
        <f>IF(ISBLANK(C26),"",SUBTOTAL(3, $C$3:C26))</f>
        <v>24</v>
      </c>
      <c r="C26" s="32" t="s">
        <v>60</v>
      </c>
      <c r="D26" s="17" t="s">
        <v>7</v>
      </c>
      <c r="E26" s="18">
        <v>200</v>
      </c>
      <c r="F26" s="18">
        <v>2</v>
      </c>
      <c r="G26" s="45">
        <f>IF(ISBLANK(Sacak[[#This Row],[ÖLÇÜSÜ]]),"",VLOOKUP(Sacak[[#This Row],[ÖLÇÜSÜ]],Fiyat[[Ölçü]:[Birim Fiyatı]],2,0))</f>
        <v>365</v>
      </c>
      <c r="H26" s="45">
        <f>IF(ISBLANK(Sacak[[#This Row],[ÖLÇÜSÜ]]),"",F26*G26)</f>
        <v>730</v>
      </c>
      <c r="I26" s="46">
        <f>IF(ISBLANK(Sacak[[#This Row],[ÖLÇÜSÜ]]),"",SUMIF(Sacak[Adı Soyadı],Sacak[[#This Row],[Adı Soyadı]],Sacak[TUTAR]))</f>
        <v>2945</v>
      </c>
    </row>
    <row r="27" spans="2:9" ht="16.5" thickTop="1" thickBot="1" x14ac:dyDescent="0.3">
      <c r="B27" s="16">
        <f>IF(ISBLANK(C27),"",SUBTOTAL(3, $C$3:C27))</f>
        <v>25</v>
      </c>
      <c r="C27" s="32" t="s">
        <v>30</v>
      </c>
      <c r="D27" s="17" t="s">
        <v>7</v>
      </c>
      <c r="E27" s="18">
        <v>200</v>
      </c>
      <c r="F27" s="18">
        <v>1</v>
      </c>
      <c r="G27" s="45">
        <f>IF(ISBLANK(Sacak[[#This Row],[ÖLÇÜSÜ]]),"",VLOOKUP(Sacak[[#This Row],[ÖLÇÜSÜ]],Fiyat[[Ölçü]:[Birim Fiyatı]],2,0))</f>
        <v>365</v>
      </c>
      <c r="H27" s="45">
        <f>IF(ISBLANK(Sacak[[#This Row],[ÖLÇÜSÜ]]),"",F27*G27)</f>
        <v>365</v>
      </c>
      <c r="I27" s="46">
        <f>IF(ISBLANK(Sacak[[#This Row],[ÖLÇÜSÜ]]),"",SUMIF(Sacak[Adı Soyadı],Sacak[[#This Row],[Adı Soyadı]],Sacak[TUTAR]))</f>
        <v>365</v>
      </c>
    </row>
    <row r="28" spans="2:9" ht="16.5" thickTop="1" thickBot="1" x14ac:dyDescent="0.3">
      <c r="B28" s="16">
        <f>IF(ISBLANK(C28),"",SUBTOTAL(3, $C$3:C28))</f>
        <v>26</v>
      </c>
      <c r="C28" s="32" t="s">
        <v>11</v>
      </c>
      <c r="D28" s="17" t="s">
        <v>4</v>
      </c>
      <c r="E28" s="18">
        <v>200</v>
      </c>
      <c r="F28" s="18">
        <v>6</v>
      </c>
      <c r="G28" s="45">
        <f>IF(ISBLANK(Sacak[[#This Row],[ÖLÇÜSÜ]]),"",VLOOKUP(Sacak[[#This Row],[ÖLÇÜSÜ]],Fiyat[[Ölçü]:[Birim Fiyatı]],2,0))</f>
        <v>365</v>
      </c>
      <c r="H28" s="45">
        <f>IF(ISBLANK(Sacak[[#This Row],[ÖLÇÜSÜ]]),"",F28*G28)</f>
        <v>2190</v>
      </c>
      <c r="I28" s="46">
        <f>IF(ISBLANK(Sacak[[#This Row],[ÖLÇÜSÜ]]),"",SUMIF(Sacak[Adı Soyadı],Sacak[[#This Row],[Adı Soyadı]],Sacak[TUTAR]))</f>
        <v>11825</v>
      </c>
    </row>
    <row r="29" spans="2:9" ht="16.5" thickTop="1" thickBot="1" x14ac:dyDescent="0.3">
      <c r="B29" s="16">
        <f>IF(ISBLANK(C29),"",SUBTOTAL(3, $C$3:C29))</f>
        <v>27</v>
      </c>
      <c r="C29" s="32" t="s">
        <v>11</v>
      </c>
      <c r="D29" s="17" t="s">
        <v>4</v>
      </c>
      <c r="E29" s="18">
        <v>170</v>
      </c>
      <c r="F29" s="18">
        <v>1</v>
      </c>
      <c r="G29" s="45">
        <f>IF(ISBLANK(Sacak[[#This Row],[ÖLÇÜSÜ]]),"",VLOOKUP(Sacak[[#This Row],[ÖLÇÜSÜ]],Fiyat[[Ölçü]:[Birim Fiyatı]],2,0))</f>
        <v>320</v>
      </c>
      <c r="H29" s="45">
        <f>IF(ISBLANK(Sacak[[#This Row],[ÖLÇÜSÜ]]),"",F29*G29)</f>
        <v>320</v>
      </c>
      <c r="I29" s="46">
        <f>IF(ISBLANK(Sacak[[#This Row],[ÖLÇÜSÜ]]),"",SUMIF(Sacak[Adı Soyadı],Sacak[[#This Row],[Adı Soyadı]],Sacak[TUTAR]))</f>
        <v>11825</v>
      </c>
    </row>
    <row r="30" spans="2:9" ht="16.5" thickTop="1" thickBot="1" x14ac:dyDescent="0.3">
      <c r="B30" s="16">
        <f>IF(ISBLANK(C30),"",SUBTOTAL(3, $C$3:C30))</f>
        <v>28</v>
      </c>
      <c r="C30" s="32" t="s">
        <v>11</v>
      </c>
      <c r="D30" s="17" t="s">
        <v>4</v>
      </c>
      <c r="E30" s="18">
        <v>240</v>
      </c>
      <c r="F30" s="18">
        <v>3</v>
      </c>
      <c r="G30" s="45">
        <f>IF(ISBLANK(Sacak[[#This Row],[ÖLÇÜSÜ]]),"",VLOOKUP(Sacak[[#This Row],[ÖLÇÜSÜ]],Fiyat[[Ölçü]:[Birim Fiyatı]],2,0))</f>
        <v>445</v>
      </c>
      <c r="H30" s="45">
        <f>IF(ISBLANK(Sacak[[#This Row],[ÖLÇÜSÜ]]),"",F30*G30)</f>
        <v>1335</v>
      </c>
      <c r="I30" s="46">
        <f>IF(ISBLANK(Sacak[[#This Row],[ÖLÇÜSÜ]]),"",SUMIF(Sacak[Adı Soyadı],Sacak[[#This Row],[Adı Soyadı]],Sacak[TUTAR]))</f>
        <v>11825</v>
      </c>
    </row>
    <row r="31" spans="2:9" ht="16.5" thickTop="1" thickBot="1" x14ac:dyDescent="0.3">
      <c r="B31" s="16">
        <f>IF(ISBLANK(C31),"",SUBTOTAL(3, $C$3:C31))</f>
        <v>29</v>
      </c>
      <c r="C31" s="32" t="s">
        <v>11</v>
      </c>
      <c r="D31" s="17" t="s">
        <v>4</v>
      </c>
      <c r="E31" s="18" t="s">
        <v>42</v>
      </c>
      <c r="F31" s="18">
        <v>2</v>
      </c>
      <c r="G31" s="45">
        <f>IF(ISBLANK(Sacak[[#This Row],[ÖLÇÜSÜ]]),"",VLOOKUP(Sacak[[#This Row],[ÖLÇÜSÜ]],Fiyat[[Ölçü]:[Birim Fiyatı]],2,0))</f>
        <v>1000</v>
      </c>
      <c r="H31" s="45">
        <f>IF(ISBLANK(Sacak[[#This Row],[ÖLÇÜSÜ]]),"",F31*G31)</f>
        <v>2000</v>
      </c>
      <c r="I31" s="46">
        <f>IF(ISBLANK(Sacak[[#This Row],[ÖLÇÜSÜ]]),"",SUMIF(Sacak[Adı Soyadı],Sacak[[#This Row],[Adı Soyadı]],Sacak[TUTAR]))</f>
        <v>11825</v>
      </c>
    </row>
    <row r="32" spans="2:9" ht="16.5" thickTop="1" thickBot="1" x14ac:dyDescent="0.3">
      <c r="B32" s="16">
        <f>IF(ISBLANK(C32),"",SUBTOTAL(3, $C$3:C32))</f>
        <v>30</v>
      </c>
      <c r="C32" s="32" t="s">
        <v>11</v>
      </c>
      <c r="D32" s="17" t="s">
        <v>4</v>
      </c>
      <c r="E32" s="18" t="s">
        <v>39</v>
      </c>
      <c r="F32" s="18">
        <v>1</v>
      </c>
      <c r="G32" s="45">
        <f>IF(ISBLANK(Sacak[[#This Row],[ÖLÇÜSÜ]]),"",VLOOKUP(Sacak[[#This Row],[ÖLÇÜSÜ]],Fiyat[[Ölçü]:[Birim Fiyatı]],2,0))</f>
        <v>800</v>
      </c>
      <c r="H32" s="45">
        <f>IF(ISBLANK(Sacak[[#This Row],[ÖLÇÜSÜ]]),"",F32*G32)</f>
        <v>800</v>
      </c>
      <c r="I32" s="46">
        <f>IF(ISBLANK(Sacak[[#This Row],[ÖLÇÜSÜ]]),"",SUMIF(Sacak[Adı Soyadı],Sacak[[#This Row],[Adı Soyadı]],Sacak[TUTAR]))</f>
        <v>11825</v>
      </c>
    </row>
    <row r="33" spans="2:9" ht="16.5" thickTop="1" thickBot="1" x14ac:dyDescent="0.3">
      <c r="B33" s="16">
        <f>IF(ISBLANK(C33),"",SUBTOTAL(3, $C$3:C33))</f>
        <v>31</v>
      </c>
      <c r="C33" s="32" t="s">
        <v>11</v>
      </c>
      <c r="D33" s="17" t="s">
        <v>4</v>
      </c>
      <c r="E33" s="18" t="s">
        <v>76</v>
      </c>
      <c r="F33" s="18">
        <v>2</v>
      </c>
      <c r="G33" s="45">
        <f>IF(ISBLANK(Sacak[[#This Row],[ÖLÇÜSÜ]]),"",VLOOKUP(Sacak[[#This Row],[ÖLÇÜSÜ]],Fiyat[[Ölçü]:[Birim Fiyatı]],2,0))</f>
        <v>650</v>
      </c>
      <c r="H33" s="45">
        <f>IF(ISBLANK(Sacak[[#This Row],[ÖLÇÜSÜ]]),"",F33*G33)</f>
        <v>1300</v>
      </c>
      <c r="I33" s="46">
        <f>IF(ISBLANK(Sacak[[#This Row],[ÖLÇÜSÜ]]),"",SUMIF(Sacak[Adı Soyadı],Sacak[[#This Row],[Adı Soyadı]],Sacak[TUTAR]))</f>
        <v>11825</v>
      </c>
    </row>
    <row r="34" spans="2:9" ht="16.5" thickTop="1" thickBot="1" x14ac:dyDescent="0.3">
      <c r="B34" s="16">
        <f>IF(ISBLANK(C34),"",SUBTOTAL(3, $C$3:C34))</f>
        <v>32</v>
      </c>
      <c r="C34" s="32" t="s">
        <v>11</v>
      </c>
      <c r="D34" s="17" t="s">
        <v>4</v>
      </c>
      <c r="E34" s="18" t="s">
        <v>55</v>
      </c>
      <c r="F34" s="18">
        <v>1</v>
      </c>
      <c r="G34" s="45">
        <f>IF(ISBLANK(Sacak[[#This Row],[ÖLÇÜSÜ]]),"",VLOOKUP(Sacak[[#This Row],[ÖLÇÜSÜ]],Fiyat[[Ölçü]:[Birim Fiyatı]],2,0))</f>
        <v>600</v>
      </c>
      <c r="H34" s="45">
        <f>IF(ISBLANK(Sacak[[#This Row],[ÖLÇÜSÜ]]),"",F34*G34)</f>
        <v>600</v>
      </c>
      <c r="I34" s="46">
        <f>IF(ISBLANK(Sacak[[#This Row],[ÖLÇÜSÜ]]),"",SUMIF(Sacak[Adı Soyadı],Sacak[[#This Row],[Adı Soyadı]],Sacak[TUTAR]))</f>
        <v>11825</v>
      </c>
    </row>
    <row r="35" spans="2:9" ht="16.5" thickTop="1" thickBot="1" x14ac:dyDescent="0.3">
      <c r="B35" s="16">
        <f>IF(ISBLANK(C35),"",SUBTOTAL(3, $C$3:C35))</f>
        <v>33</v>
      </c>
      <c r="C35" s="32" t="s">
        <v>11</v>
      </c>
      <c r="D35" s="17" t="s">
        <v>4</v>
      </c>
      <c r="E35" s="18">
        <v>90</v>
      </c>
      <c r="F35" s="18">
        <v>15</v>
      </c>
      <c r="G35" s="45">
        <f>IF(ISBLANK(Sacak[[#This Row],[ÖLÇÜSÜ]]),"",VLOOKUP(Sacak[[#This Row],[ÖLÇÜSÜ]],Fiyat[[Ölçü]:[Birim Fiyatı]],2,0))</f>
        <v>170</v>
      </c>
      <c r="H35" s="45">
        <f>IF(ISBLANK(Sacak[[#This Row],[ÖLÇÜSÜ]]),"",F35*G35)</f>
        <v>2550</v>
      </c>
      <c r="I35" s="46">
        <f>IF(ISBLANK(Sacak[[#This Row],[ÖLÇÜSÜ]]),"",SUMIF(Sacak[Adı Soyadı],Sacak[[#This Row],[Adı Soyadı]],Sacak[TUTAR]))</f>
        <v>11825</v>
      </c>
    </row>
    <row r="36" spans="2:9" ht="16.5" thickTop="1" thickBot="1" x14ac:dyDescent="0.3">
      <c r="B36" s="16">
        <f>IF(ISBLANK(C36),"",SUBTOTAL(3, $C$3:C36))</f>
        <v>34</v>
      </c>
      <c r="C36" s="32" t="s">
        <v>11</v>
      </c>
      <c r="D36" s="17" t="s">
        <v>7</v>
      </c>
      <c r="E36" s="18">
        <v>200</v>
      </c>
      <c r="F36" s="18">
        <v>2</v>
      </c>
      <c r="G36" s="45">
        <f>IF(ISBLANK(Sacak[[#This Row],[ÖLÇÜSÜ]]),"",VLOOKUP(Sacak[[#This Row],[ÖLÇÜSÜ]],Fiyat[[Ölçü]:[Birim Fiyatı]],2,0))</f>
        <v>365</v>
      </c>
      <c r="H36" s="45">
        <f>IF(ISBLANK(Sacak[[#This Row],[ÖLÇÜSÜ]]),"",F36*G36)</f>
        <v>730</v>
      </c>
      <c r="I36" s="46">
        <f>IF(ISBLANK(Sacak[[#This Row],[ÖLÇÜSÜ]]),"",SUMIF(Sacak[Adı Soyadı],Sacak[[#This Row],[Adı Soyadı]],Sacak[TUTAR]))</f>
        <v>11825</v>
      </c>
    </row>
    <row r="37" spans="2:9" ht="16.5" thickTop="1" thickBot="1" x14ac:dyDescent="0.3">
      <c r="B37" s="16">
        <f>IF(ISBLANK(C37),"",SUBTOTAL(3, $C$3:C37))</f>
        <v>35</v>
      </c>
      <c r="C37" s="32" t="s">
        <v>8</v>
      </c>
      <c r="D37" s="17" t="s">
        <v>4</v>
      </c>
      <c r="E37" s="18">
        <v>200</v>
      </c>
      <c r="F37" s="18">
        <v>2</v>
      </c>
      <c r="G37" s="45">
        <f>IF(ISBLANK(Sacak[[#This Row],[ÖLÇÜSÜ]]),"",VLOOKUP(Sacak[[#This Row],[ÖLÇÜSÜ]],Fiyat[[Ölçü]:[Birim Fiyatı]],2,0))</f>
        <v>365</v>
      </c>
      <c r="H37" s="45">
        <f>IF(ISBLANK(Sacak[[#This Row],[ÖLÇÜSÜ]]),"",F37*G37)</f>
        <v>730</v>
      </c>
      <c r="I37" s="46">
        <f>IF(ISBLANK(Sacak[[#This Row],[ÖLÇÜSÜ]]),"",SUMIF(Sacak[Adı Soyadı],Sacak[[#This Row],[Adı Soyadı]],Sacak[TUTAR]))</f>
        <v>8110</v>
      </c>
    </row>
    <row r="38" spans="2:9" ht="16.5" thickTop="1" thickBot="1" x14ac:dyDescent="0.3">
      <c r="B38" s="16">
        <f>IF(ISBLANK(C38),"",SUBTOTAL(3, $C$3:C38))</f>
        <v>36</v>
      </c>
      <c r="C38" s="32" t="s">
        <v>8</v>
      </c>
      <c r="D38" s="17" t="s">
        <v>4</v>
      </c>
      <c r="E38" s="18">
        <v>170</v>
      </c>
      <c r="F38" s="18">
        <v>1</v>
      </c>
      <c r="G38" s="45">
        <f>IF(ISBLANK(Sacak[[#This Row],[ÖLÇÜSÜ]]),"",VLOOKUP(Sacak[[#This Row],[ÖLÇÜSÜ]],Fiyat[[Ölçü]:[Birim Fiyatı]],2,0))</f>
        <v>320</v>
      </c>
      <c r="H38" s="45">
        <f>IF(ISBLANK(Sacak[[#This Row],[ÖLÇÜSÜ]]),"",F38*G38)</f>
        <v>320</v>
      </c>
      <c r="I38" s="46">
        <f>IF(ISBLANK(Sacak[[#This Row],[ÖLÇÜSÜ]]),"",SUMIF(Sacak[Adı Soyadı],Sacak[[#This Row],[Adı Soyadı]],Sacak[TUTAR]))</f>
        <v>8110</v>
      </c>
    </row>
    <row r="39" spans="2:9" ht="16.5" thickTop="1" thickBot="1" x14ac:dyDescent="0.3">
      <c r="B39" s="16">
        <f>IF(ISBLANK(C39),"",SUBTOTAL(3, $C$3:C39))</f>
        <v>37</v>
      </c>
      <c r="C39" s="32" t="s">
        <v>8</v>
      </c>
      <c r="D39" s="17" t="s">
        <v>4</v>
      </c>
      <c r="E39" s="18" t="s">
        <v>42</v>
      </c>
      <c r="F39" s="18">
        <v>2</v>
      </c>
      <c r="G39" s="45">
        <f>IF(ISBLANK(Sacak[[#This Row],[ÖLÇÜSÜ]]),"",VLOOKUP(Sacak[[#This Row],[ÖLÇÜSÜ]],Fiyat[[Ölçü]:[Birim Fiyatı]],2,0))</f>
        <v>1000</v>
      </c>
      <c r="H39" s="45">
        <f>IF(ISBLANK(Sacak[[#This Row],[ÖLÇÜSÜ]]),"",F39*G39)</f>
        <v>2000</v>
      </c>
      <c r="I39" s="46">
        <f>IF(ISBLANK(Sacak[[#This Row],[ÖLÇÜSÜ]]),"",SUMIF(Sacak[Adı Soyadı],Sacak[[#This Row],[Adı Soyadı]],Sacak[TUTAR]))</f>
        <v>8110</v>
      </c>
    </row>
    <row r="40" spans="2:9" ht="16.5" thickTop="1" thickBot="1" x14ac:dyDescent="0.3">
      <c r="B40" s="16">
        <f>IF(ISBLANK(C40),"",SUBTOTAL(3, $C$3:C40))</f>
        <v>38</v>
      </c>
      <c r="C40" s="32" t="s">
        <v>8</v>
      </c>
      <c r="D40" s="17" t="s">
        <v>4</v>
      </c>
      <c r="E40" s="18" t="s">
        <v>39</v>
      </c>
      <c r="F40" s="18">
        <v>2</v>
      </c>
      <c r="G40" s="45">
        <f>IF(ISBLANK(Sacak[[#This Row],[ÖLÇÜSÜ]]),"",VLOOKUP(Sacak[[#This Row],[ÖLÇÜSÜ]],Fiyat[[Ölçü]:[Birim Fiyatı]],2,0))</f>
        <v>800</v>
      </c>
      <c r="H40" s="45">
        <f>IF(ISBLANK(Sacak[[#This Row],[ÖLÇÜSÜ]]),"",F40*G40)</f>
        <v>1600</v>
      </c>
      <c r="I40" s="46">
        <f>IF(ISBLANK(Sacak[[#This Row],[ÖLÇÜSÜ]]),"",SUMIF(Sacak[Adı Soyadı],Sacak[[#This Row],[Adı Soyadı]],Sacak[TUTAR]))</f>
        <v>8110</v>
      </c>
    </row>
    <row r="41" spans="2:9" ht="16.5" thickTop="1" thickBot="1" x14ac:dyDescent="0.3">
      <c r="B41" s="16">
        <f>IF(ISBLANK(C41),"",SUBTOTAL(3, $C$3:C41))</f>
        <v>39</v>
      </c>
      <c r="C41" s="32" t="s">
        <v>8</v>
      </c>
      <c r="D41" s="17" t="s">
        <v>4</v>
      </c>
      <c r="E41" s="18" t="s">
        <v>76</v>
      </c>
      <c r="F41" s="18">
        <v>2</v>
      </c>
      <c r="G41" s="45">
        <f>IF(ISBLANK(Sacak[[#This Row],[ÖLÇÜSÜ]]),"",VLOOKUP(Sacak[[#This Row],[ÖLÇÜSÜ]],Fiyat[[Ölçü]:[Birim Fiyatı]],2,0))</f>
        <v>650</v>
      </c>
      <c r="H41" s="45">
        <f>IF(ISBLANK(Sacak[[#This Row],[ÖLÇÜSÜ]]),"",F41*G41)</f>
        <v>1300</v>
      </c>
      <c r="I41" s="46">
        <f>IF(ISBLANK(Sacak[[#This Row],[ÖLÇÜSÜ]]),"",SUMIF(Sacak[Adı Soyadı],Sacak[[#This Row],[Adı Soyadı]],Sacak[TUTAR]))</f>
        <v>8110</v>
      </c>
    </row>
    <row r="42" spans="2:9" ht="16.5" thickTop="1" thickBot="1" x14ac:dyDescent="0.3">
      <c r="B42" s="16">
        <f>IF(ISBLANK(C42),"",SUBTOTAL(3, $C$3:C42))</f>
        <v>40</v>
      </c>
      <c r="C42" s="32" t="s">
        <v>8</v>
      </c>
      <c r="D42" s="17" t="s">
        <v>4</v>
      </c>
      <c r="E42" s="18">
        <v>90</v>
      </c>
      <c r="F42" s="18">
        <v>3</v>
      </c>
      <c r="G42" s="45">
        <f>IF(ISBLANK(Sacak[[#This Row],[ÖLÇÜSÜ]]),"",VLOOKUP(Sacak[[#This Row],[ÖLÇÜSÜ]],Fiyat[[Ölçü]:[Birim Fiyatı]],2,0))</f>
        <v>170</v>
      </c>
      <c r="H42" s="45">
        <f>IF(ISBLANK(Sacak[[#This Row],[ÖLÇÜSÜ]]),"",F42*G42)</f>
        <v>510</v>
      </c>
      <c r="I42" s="46">
        <f>IF(ISBLANK(Sacak[[#This Row],[ÖLÇÜSÜ]]),"",SUMIF(Sacak[Adı Soyadı],Sacak[[#This Row],[Adı Soyadı]],Sacak[TUTAR]))</f>
        <v>8110</v>
      </c>
    </row>
    <row r="43" spans="2:9" ht="16.5" thickTop="1" thickBot="1" x14ac:dyDescent="0.3">
      <c r="B43" s="16">
        <f>IF(ISBLANK(C43),"",SUBTOTAL(3, $C$3:C43))</f>
        <v>41</v>
      </c>
      <c r="C43" s="32" t="s">
        <v>8</v>
      </c>
      <c r="D43" s="17" t="s">
        <v>7</v>
      </c>
      <c r="E43" s="18">
        <v>200</v>
      </c>
      <c r="F43" s="18">
        <v>2</v>
      </c>
      <c r="G43" s="45">
        <f>IF(ISBLANK(Sacak[[#This Row],[ÖLÇÜSÜ]]),"",VLOOKUP(Sacak[[#This Row],[ÖLÇÜSÜ]],Fiyat[[Ölçü]:[Birim Fiyatı]],2,0))</f>
        <v>365</v>
      </c>
      <c r="H43" s="45">
        <f>IF(ISBLANK(Sacak[[#This Row],[ÖLÇÜSÜ]]),"",F43*G43)</f>
        <v>730</v>
      </c>
      <c r="I43" s="46">
        <f>IF(ISBLANK(Sacak[[#This Row],[ÖLÇÜSÜ]]),"",SUMIF(Sacak[Adı Soyadı],Sacak[[#This Row],[Adı Soyadı]],Sacak[TUTAR]))</f>
        <v>8110</v>
      </c>
    </row>
    <row r="44" spans="2:9" ht="16.5" thickTop="1" thickBot="1" x14ac:dyDescent="0.3">
      <c r="B44" s="16">
        <f>IF(ISBLANK(C44),"",SUBTOTAL(3, $C$3:C44))</f>
        <v>42</v>
      </c>
      <c r="C44" s="32" t="s">
        <v>8</v>
      </c>
      <c r="D44" s="17" t="s">
        <v>7</v>
      </c>
      <c r="E44" s="18">
        <v>160</v>
      </c>
      <c r="F44" s="18">
        <v>2</v>
      </c>
      <c r="G44" s="45">
        <f>IF(ISBLANK(Sacak[[#This Row],[ÖLÇÜSÜ]]),"",VLOOKUP(Sacak[[#This Row],[ÖLÇÜSÜ]],Fiyat[[Ölçü]:[Birim Fiyatı]],2,0))</f>
        <v>300</v>
      </c>
      <c r="H44" s="45">
        <f>IF(ISBLANK(Sacak[[#This Row],[ÖLÇÜSÜ]]),"",F44*G44)</f>
        <v>600</v>
      </c>
      <c r="I44" s="46">
        <f>IF(ISBLANK(Sacak[[#This Row],[ÖLÇÜSÜ]]),"",SUMIF(Sacak[Adı Soyadı],Sacak[[#This Row],[Adı Soyadı]],Sacak[TUTAR]))</f>
        <v>8110</v>
      </c>
    </row>
    <row r="45" spans="2:9" ht="16.5" thickTop="1" thickBot="1" x14ac:dyDescent="0.3">
      <c r="B45" s="16">
        <f>IF(ISBLANK(C45),"",SUBTOTAL(3, $C$3:C45))</f>
        <v>43</v>
      </c>
      <c r="C45" s="32" t="s">
        <v>8</v>
      </c>
      <c r="D45" s="17" t="s">
        <v>7</v>
      </c>
      <c r="E45" s="18">
        <v>90</v>
      </c>
      <c r="F45" s="18">
        <v>1</v>
      </c>
      <c r="G45" s="45">
        <f>IF(ISBLANK(Sacak[[#This Row],[ÖLÇÜSÜ]]),"",VLOOKUP(Sacak[[#This Row],[ÖLÇÜSÜ]],Fiyat[[Ölçü]:[Birim Fiyatı]],2,0))</f>
        <v>170</v>
      </c>
      <c r="H45" s="45">
        <f>IF(ISBLANK(Sacak[[#This Row],[ÖLÇÜSÜ]]),"",F45*G45)</f>
        <v>170</v>
      </c>
      <c r="I45" s="46">
        <f>IF(ISBLANK(Sacak[[#This Row],[ÖLÇÜSÜ]]),"",SUMIF(Sacak[Adı Soyadı],Sacak[[#This Row],[Adı Soyadı]],Sacak[TUTAR]))</f>
        <v>8110</v>
      </c>
    </row>
    <row r="46" spans="2:9" ht="16.5" thickTop="1" thickBot="1" x14ac:dyDescent="0.3">
      <c r="B46" s="16">
        <f>IF(ISBLANK(C46),"",SUBTOTAL(3, $C$3:C46))</f>
        <v>44</v>
      </c>
      <c r="C46" s="32" t="s">
        <v>8</v>
      </c>
      <c r="D46" s="17" t="s">
        <v>7</v>
      </c>
      <c r="E46" s="18">
        <v>80</v>
      </c>
      <c r="F46" s="18">
        <v>1</v>
      </c>
      <c r="G46" s="45">
        <f>IF(ISBLANK(Sacak[[#This Row],[ÖLÇÜSÜ]]),"",VLOOKUP(Sacak[[#This Row],[ÖLÇÜSÜ]],Fiyat[[Ölçü]:[Birim Fiyatı]],2,0))</f>
        <v>150</v>
      </c>
      <c r="H46" s="45">
        <f>IF(ISBLANK(Sacak[[#This Row],[ÖLÇÜSÜ]]),"",F46*G46)</f>
        <v>150</v>
      </c>
      <c r="I46" s="46">
        <f>IF(ISBLANK(Sacak[[#This Row],[ÖLÇÜSÜ]]),"",SUMIF(Sacak[Adı Soyadı],Sacak[[#This Row],[Adı Soyadı]],Sacak[TUTAR]))</f>
        <v>8110</v>
      </c>
    </row>
    <row r="47" spans="2:9" ht="16.5" thickTop="1" thickBot="1" x14ac:dyDescent="0.3">
      <c r="B47" s="16">
        <f>IF(ISBLANK(C47),"",SUBTOTAL(3, $C$3:C47))</f>
        <v>45</v>
      </c>
      <c r="C47" s="32" t="s">
        <v>35</v>
      </c>
      <c r="D47" s="17" t="s">
        <v>4</v>
      </c>
      <c r="E47" s="18">
        <v>200</v>
      </c>
      <c r="F47" s="18">
        <v>13</v>
      </c>
      <c r="G47" s="45">
        <f>IF(ISBLANK(Sacak[[#This Row],[ÖLÇÜSÜ]]),"",VLOOKUP(Sacak[[#This Row],[ÖLÇÜSÜ]],Fiyat[[Ölçü]:[Birim Fiyatı]],2,0))</f>
        <v>365</v>
      </c>
      <c r="H47" s="45">
        <f>IF(ISBLANK(Sacak[[#This Row],[ÖLÇÜSÜ]]),"",F47*G47)</f>
        <v>4745</v>
      </c>
      <c r="I47" s="46">
        <f>IF(ISBLANK(Sacak[[#This Row],[ÖLÇÜSÜ]]),"",SUMIF(Sacak[Adı Soyadı],Sacak[[#This Row],[Adı Soyadı]],Sacak[TUTAR]))</f>
        <v>13980</v>
      </c>
    </row>
    <row r="48" spans="2:9" ht="16.5" thickTop="1" thickBot="1" x14ac:dyDescent="0.3">
      <c r="B48" s="16">
        <f>IF(ISBLANK(C48),"",SUBTOTAL(3, $C$3:C48))</f>
        <v>46</v>
      </c>
      <c r="C48" s="32" t="s">
        <v>35</v>
      </c>
      <c r="D48" s="17" t="s">
        <v>4</v>
      </c>
      <c r="E48" s="18">
        <v>170</v>
      </c>
      <c r="F48" s="18">
        <v>9</v>
      </c>
      <c r="G48" s="45">
        <f>IF(ISBLANK(Sacak[[#This Row],[ÖLÇÜSÜ]]),"",VLOOKUP(Sacak[[#This Row],[ÖLÇÜSÜ]],Fiyat[[Ölçü]:[Birim Fiyatı]],2,0))</f>
        <v>320</v>
      </c>
      <c r="H48" s="45">
        <f>IF(ISBLANK(Sacak[[#This Row],[ÖLÇÜSÜ]]),"",F48*G48)</f>
        <v>2880</v>
      </c>
      <c r="I48" s="46">
        <f>IF(ISBLANK(Sacak[[#This Row],[ÖLÇÜSÜ]]),"",SUMIF(Sacak[Adı Soyadı],Sacak[[#This Row],[Adı Soyadı]],Sacak[TUTAR]))</f>
        <v>13980</v>
      </c>
    </row>
    <row r="49" spans="2:9" ht="16.5" thickTop="1" thickBot="1" x14ac:dyDescent="0.3">
      <c r="B49" s="16">
        <f>IF(ISBLANK(C49),"",SUBTOTAL(3, $C$3:C49))</f>
        <v>47</v>
      </c>
      <c r="C49" s="32" t="s">
        <v>35</v>
      </c>
      <c r="D49" s="17" t="s">
        <v>4</v>
      </c>
      <c r="E49" s="18">
        <v>130</v>
      </c>
      <c r="F49" s="18">
        <v>1</v>
      </c>
      <c r="G49" s="45">
        <f>IF(ISBLANK(Sacak[[#This Row],[ÖLÇÜSÜ]]),"",VLOOKUP(Sacak[[#This Row],[ÖLÇÜSÜ]],Fiyat[[Ölçü]:[Birim Fiyatı]],2,0))</f>
        <v>245</v>
      </c>
      <c r="H49" s="45">
        <f>IF(ISBLANK(Sacak[[#This Row],[ÖLÇÜSÜ]]),"",F49*G49)</f>
        <v>245</v>
      </c>
      <c r="I49" s="46">
        <f>IF(ISBLANK(Sacak[[#This Row],[ÖLÇÜSÜ]]),"",SUMIF(Sacak[Adı Soyadı],Sacak[[#This Row],[Adı Soyadı]],Sacak[TUTAR]))</f>
        <v>13980</v>
      </c>
    </row>
    <row r="50" spans="2:9" ht="16.5" thickTop="1" thickBot="1" x14ac:dyDescent="0.3">
      <c r="B50" s="16">
        <f>IF(ISBLANK(C50),"",SUBTOTAL(3, $C$3:C50))</f>
        <v>48</v>
      </c>
      <c r="C50" s="32" t="s">
        <v>35</v>
      </c>
      <c r="D50" s="17" t="s">
        <v>4</v>
      </c>
      <c r="E50" s="18">
        <v>120</v>
      </c>
      <c r="F50" s="18">
        <v>1</v>
      </c>
      <c r="G50" s="45">
        <f>IF(ISBLANK(Sacak[[#This Row],[ÖLÇÜSÜ]]),"",VLOOKUP(Sacak[[#This Row],[ÖLÇÜSÜ]],Fiyat[[Ölçü]:[Birim Fiyatı]],2,0))</f>
        <v>225</v>
      </c>
      <c r="H50" s="45">
        <f>IF(ISBLANK(Sacak[[#This Row],[ÖLÇÜSÜ]]),"",F50*G50)</f>
        <v>225</v>
      </c>
      <c r="I50" s="46">
        <f>IF(ISBLANK(Sacak[[#This Row],[ÖLÇÜSÜ]]),"",SUMIF(Sacak[Adı Soyadı],Sacak[[#This Row],[Adı Soyadı]],Sacak[TUTAR]))</f>
        <v>13980</v>
      </c>
    </row>
    <row r="51" spans="2:9" ht="16.5" thickTop="1" thickBot="1" x14ac:dyDescent="0.3">
      <c r="B51" s="16">
        <f>IF(ISBLANK(C51),"",SUBTOTAL(3, $C$3:C51))</f>
        <v>49</v>
      </c>
      <c r="C51" s="32" t="s">
        <v>35</v>
      </c>
      <c r="D51" s="17" t="s">
        <v>4</v>
      </c>
      <c r="E51" s="18">
        <v>90</v>
      </c>
      <c r="F51" s="18">
        <v>10</v>
      </c>
      <c r="G51" s="45">
        <f>IF(ISBLANK(Sacak[[#This Row],[ÖLÇÜSÜ]]),"",VLOOKUP(Sacak[[#This Row],[ÖLÇÜSÜ]],Fiyat[[Ölçü]:[Birim Fiyatı]],2,0))</f>
        <v>170</v>
      </c>
      <c r="H51" s="45">
        <f>IF(ISBLANK(Sacak[[#This Row],[ÖLÇÜSÜ]]),"",F51*G51)</f>
        <v>1700</v>
      </c>
      <c r="I51" s="46">
        <f>IF(ISBLANK(Sacak[[#This Row],[ÖLÇÜSÜ]]),"",SUMIF(Sacak[Adı Soyadı],Sacak[[#This Row],[Adı Soyadı]],Sacak[TUTAR]))</f>
        <v>13980</v>
      </c>
    </row>
    <row r="52" spans="2:9" ht="16.5" thickTop="1" thickBot="1" x14ac:dyDescent="0.3">
      <c r="B52" s="16">
        <f>IF(ISBLANK(C52),"",SUBTOTAL(3, $C$3:C52))</f>
        <v>50</v>
      </c>
      <c r="C52" s="32" t="s">
        <v>35</v>
      </c>
      <c r="D52" s="17" t="s">
        <v>4</v>
      </c>
      <c r="E52" s="18">
        <v>240</v>
      </c>
      <c r="F52" s="18">
        <v>1</v>
      </c>
      <c r="G52" s="45">
        <f>IF(ISBLANK(Sacak[[#This Row],[ÖLÇÜSÜ]]),"",VLOOKUP(Sacak[[#This Row],[ÖLÇÜSÜ]],Fiyat[[Ölçü]:[Birim Fiyatı]],2,0))</f>
        <v>445</v>
      </c>
      <c r="H52" s="45">
        <f>IF(ISBLANK(Sacak[[#This Row],[ÖLÇÜSÜ]]),"",F52*G52)</f>
        <v>445</v>
      </c>
      <c r="I52" s="46">
        <f>IF(ISBLANK(Sacak[[#This Row],[ÖLÇÜSÜ]]),"",SUMIF(Sacak[Adı Soyadı],Sacak[[#This Row],[Adı Soyadı]],Sacak[TUTAR]))</f>
        <v>13980</v>
      </c>
    </row>
    <row r="53" spans="2:9" ht="16.5" thickTop="1" thickBot="1" x14ac:dyDescent="0.3">
      <c r="B53" s="16">
        <f>IF(ISBLANK(C53),"",SUBTOTAL(3, $C$3:C53))</f>
        <v>51</v>
      </c>
      <c r="C53" s="32" t="s">
        <v>35</v>
      </c>
      <c r="D53" s="17" t="s">
        <v>4</v>
      </c>
      <c r="E53" s="18" t="s">
        <v>39</v>
      </c>
      <c r="F53" s="18">
        <v>2</v>
      </c>
      <c r="G53" s="45">
        <f>IF(ISBLANK(Sacak[[#This Row],[ÖLÇÜSÜ]]),"",VLOOKUP(Sacak[[#This Row],[ÖLÇÜSÜ]],Fiyat[[Ölçü]:[Birim Fiyatı]],2,0))</f>
        <v>800</v>
      </c>
      <c r="H53" s="45">
        <f>IF(ISBLANK(Sacak[[#This Row],[ÖLÇÜSÜ]]),"",F53*G53)</f>
        <v>1600</v>
      </c>
      <c r="I53" s="46">
        <f>IF(ISBLANK(Sacak[[#This Row],[ÖLÇÜSÜ]]),"",SUMIF(Sacak[Adı Soyadı],Sacak[[#This Row],[Adı Soyadı]],Sacak[TUTAR]))</f>
        <v>13980</v>
      </c>
    </row>
    <row r="54" spans="2:9" ht="16.5" thickTop="1" thickBot="1" x14ac:dyDescent="0.3">
      <c r="B54" s="16">
        <f>IF(ISBLANK(C54),"",SUBTOTAL(3, $C$3:C54))</f>
        <v>52</v>
      </c>
      <c r="C54" s="32" t="s">
        <v>35</v>
      </c>
      <c r="D54" s="17" t="s">
        <v>7</v>
      </c>
      <c r="E54" s="18">
        <v>200</v>
      </c>
      <c r="F54" s="18">
        <v>4</v>
      </c>
      <c r="G54" s="45">
        <f>IF(ISBLANK(Sacak[[#This Row],[ÖLÇÜSÜ]]),"",VLOOKUP(Sacak[[#This Row],[ÖLÇÜSÜ]],Fiyat[[Ölçü]:[Birim Fiyatı]],2,0))</f>
        <v>365</v>
      </c>
      <c r="H54" s="45">
        <f>IF(ISBLANK(Sacak[[#This Row],[ÖLÇÜSÜ]]),"",F54*G54)</f>
        <v>1460</v>
      </c>
      <c r="I54" s="46">
        <f>IF(ISBLANK(Sacak[[#This Row],[ÖLÇÜSÜ]]),"",SUMIF(Sacak[Adı Soyadı],Sacak[[#This Row],[Adı Soyadı]],Sacak[TUTAR]))</f>
        <v>13980</v>
      </c>
    </row>
    <row r="55" spans="2:9" ht="16.5" thickTop="1" thickBot="1" x14ac:dyDescent="0.3">
      <c r="B55" s="16">
        <f>IF(ISBLANK(C55),"",SUBTOTAL(3, $C$3:C55))</f>
        <v>53</v>
      </c>
      <c r="C55" s="32" t="s">
        <v>35</v>
      </c>
      <c r="D55" s="17" t="s">
        <v>7</v>
      </c>
      <c r="E55" s="18">
        <v>90</v>
      </c>
      <c r="F55" s="18">
        <v>4</v>
      </c>
      <c r="G55" s="45">
        <f>IF(ISBLANK(Sacak[[#This Row],[ÖLÇÜSÜ]]),"",VLOOKUP(Sacak[[#This Row],[ÖLÇÜSÜ]],Fiyat[[Ölçü]:[Birim Fiyatı]],2,0))</f>
        <v>170</v>
      </c>
      <c r="H55" s="45">
        <f>IF(ISBLANK(Sacak[[#This Row],[ÖLÇÜSÜ]]),"",F55*G55)</f>
        <v>680</v>
      </c>
      <c r="I55" s="46">
        <f>IF(ISBLANK(Sacak[[#This Row],[ÖLÇÜSÜ]]),"",SUMIF(Sacak[Adı Soyadı],Sacak[[#This Row],[Adı Soyadı]],Sacak[TUTAR]))</f>
        <v>13980</v>
      </c>
    </row>
    <row r="56" spans="2:9" ht="16.5" thickTop="1" thickBot="1" x14ac:dyDescent="0.3">
      <c r="B56" s="16">
        <f>IF(ISBLANK(C56),"",SUBTOTAL(3, $C$3:C56))</f>
        <v>54</v>
      </c>
      <c r="C56" s="32" t="s">
        <v>29</v>
      </c>
      <c r="D56" s="17" t="s">
        <v>4</v>
      </c>
      <c r="E56" s="18">
        <v>200</v>
      </c>
      <c r="F56" s="18">
        <v>5</v>
      </c>
      <c r="G56" s="45">
        <f>IF(ISBLANK(Sacak[[#This Row],[ÖLÇÜSÜ]]),"",VLOOKUP(Sacak[[#This Row],[ÖLÇÜSÜ]],Fiyat[[Ölçü]:[Birim Fiyatı]],2,0))</f>
        <v>365</v>
      </c>
      <c r="H56" s="45">
        <f>IF(ISBLANK(Sacak[[#This Row],[ÖLÇÜSÜ]]),"",F56*G56)</f>
        <v>1825</v>
      </c>
      <c r="I56" s="46">
        <f>IF(ISBLANK(Sacak[[#This Row],[ÖLÇÜSÜ]]),"",SUMIF(Sacak[Adı Soyadı],Sacak[[#This Row],[Adı Soyadı]],Sacak[TUTAR]))</f>
        <v>10305</v>
      </c>
    </row>
    <row r="57" spans="2:9" ht="16.5" thickTop="1" thickBot="1" x14ac:dyDescent="0.3">
      <c r="B57" s="16">
        <f>IF(ISBLANK(C57),"",SUBTOTAL(3, $C$3:C57))</f>
        <v>55</v>
      </c>
      <c r="C57" s="32" t="s">
        <v>29</v>
      </c>
      <c r="D57" s="17" t="s">
        <v>4</v>
      </c>
      <c r="E57" s="18">
        <v>170</v>
      </c>
      <c r="F57" s="18">
        <v>8</v>
      </c>
      <c r="G57" s="45">
        <f>IF(ISBLANK(Sacak[[#This Row],[ÖLÇÜSÜ]]),"",VLOOKUP(Sacak[[#This Row],[ÖLÇÜSÜ]],Fiyat[[Ölçü]:[Birim Fiyatı]],2,0))</f>
        <v>320</v>
      </c>
      <c r="H57" s="45">
        <f>IF(ISBLANK(Sacak[[#This Row],[ÖLÇÜSÜ]]),"",F57*G57)</f>
        <v>2560</v>
      </c>
      <c r="I57" s="46">
        <f>IF(ISBLANK(Sacak[[#This Row],[ÖLÇÜSÜ]]),"",SUMIF(Sacak[Adı Soyadı],Sacak[[#This Row],[Adı Soyadı]],Sacak[TUTAR]))</f>
        <v>10305</v>
      </c>
    </row>
    <row r="58" spans="2:9" ht="16.5" thickTop="1" thickBot="1" x14ac:dyDescent="0.3">
      <c r="B58" s="16">
        <f>IF(ISBLANK(C58),"",SUBTOTAL(3, $C$3:C58))</f>
        <v>56</v>
      </c>
      <c r="C58" s="32" t="s">
        <v>29</v>
      </c>
      <c r="D58" s="17" t="s">
        <v>4</v>
      </c>
      <c r="E58" s="18">
        <v>130</v>
      </c>
      <c r="F58" s="18">
        <v>2</v>
      </c>
      <c r="G58" s="45">
        <f>IF(ISBLANK(Sacak[[#This Row],[ÖLÇÜSÜ]]),"",VLOOKUP(Sacak[[#This Row],[ÖLÇÜSÜ]],Fiyat[[Ölçü]:[Birim Fiyatı]],2,0))</f>
        <v>245</v>
      </c>
      <c r="H58" s="45">
        <f>IF(ISBLANK(Sacak[[#This Row],[ÖLÇÜSÜ]]),"",F58*G58)</f>
        <v>490</v>
      </c>
      <c r="I58" s="46">
        <f>IF(ISBLANK(Sacak[[#This Row],[ÖLÇÜSÜ]]),"",SUMIF(Sacak[Adı Soyadı],Sacak[[#This Row],[Adı Soyadı]],Sacak[TUTAR]))</f>
        <v>10305</v>
      </c>
    </row>
    <row r="59" spans="2:9" ht="16.5" thickTop="1" thickBot="1" x14ac:dyDescent="0.3">
      <c r="B59" s="16">
        <f>IF(ISBLANK(C59),"",SUBTOTAL(3, $C$3:C59))</f>
        <v>57</v>
      </c>
      <c r="C59" s="32" t="s">
        <v>29</v>
      </c>
      <c r="D59" s="17" t="s">
        <v>4</v>
      </c>
      <c r="E59" s="18">
        <v>100</v>
      </c>
      <c r="F59" s="18">
        <v>1</v>
      </c>
      <c r="G59" s="45">
        <f>IF(ISBLANK(Sacak[[#This Row],[ÖLÇÜSÜ]]),"",VLOOKUP(Sacak[[#This Row],[ÖLÇÜSÜ]],Fiyat[[Ölçü]:[Birim Fiyatı]],2,0))</f>
        <v>190</v>
      </c>
      <c r="H59" s="45">
        <f>IF(ISBLANK(Sacak[[#This Row],[ÖLÇÜSÜ]]),"",F59*G59)</f>
        <v>190</v>
      </c>
      <c r="I59" s="46">
        <f>IF(ISBLANK(Sacak[[#This Row],[ÖLÇÜSÜ]]),"",SUMIF(Sacak[Adı Soyadı],Sacak[[#This Row],[Adı Soyadı]],Sacak[TUTAR]))</f>
        <v>10305</v>
      </c>
    </row>
    <row r="60" spans="2:9" ht="16.5" thickTop="1" thickBot="1" x14ac:dyDescent="0.3">
      <c r="B60" s="16">
        <f>IF(ISBLANK(C60),"",SUBTOTAL(3, $C$3:C60))</f>
        <v>58</v>
      </c>
      <c r="C60" s="32" t="s">
        <v>29</v>
      </c>
      <c r="D60" s="17" t="s">
        <v>4</v>
      </c>
      <c r="E60" s="18">
        <v>90</v>
      </c>
      <c r="F60" s="18">
        <v>13</v>
      </c>
      <c r="G60" s="45">
        <f>IF(ISBLANK(Sacak[[#This Row],[ÖLÇÜSÜ]]),"",VLOOKUP(Sacak[[#This Row],[ÖLÇÜSÜ]],Fiyat[[Ölçü]:[Birim Fiyatı]],2,0))</f>
        <v>170</v>
      </c>
      <c r="H60" s="45">
        <f>IF(ISBLANK(Sacak[[#This Row],[ÖLÇÜSÜ]]),"",F60*G60)</f>
        <v>2210</v>
      </c>
      <c r="I60" s="46">
        <f>IF(ISBLANK(Sacak[[#This Row],[ÖLÇÜSÜ]]),"",SUMIF(Sacak[Adı Soyadı],Sacak[[#This Row],[Adı Soyadı]],Sacak[TUTAR]))</f>
        <v>10305</v>
      </c>
    </row>
    <row r="61" spans="2:9" ht="16.5" thickTop="1" thickBot="1" x14ac:dyDescent="0.3">
      <c r="B61" s="16">
        <f>IF(ISBLANK(C61),"",SUBTOTAL(3, $C$3:C61))</f>
        <v>59</v>
      </c>
      <c r="C61" s="32" t="s">
        <v>29</v>
      </c>
      <c r="D61" s="17" t="s">
        <v>4</v>
      </c>
      <c r="E61" s="18">
        <v>300</v>
      </c>
      <c r="F61" s="18">
        <v>2</v>
      </c>
      <c r="G61" s="45">
        <f>IF(ISBLANK(Sacak[[#This Row],[ÖLÇÜSÜ]]),"",VLOOKUP(Sacak[[#This Row],[ÖLÇÜSÜ]],Fiyat[[Ölçü]:[Birim Fiyatı]],2,0))</f>
        <v>570</v>
      </c>
      <c r="H61" s="45">
        <f>IF(ISBLANK(Sacak[[#This Row],[ÖLÇÜSÜ]]),"",F61*G61)</f>
        <v>1140</v>
      </c>
      <c r="I61" s="46">
        <f>IF(ISBLANK(Sacak[[#This Row],[ÖLÇÜSÜ]]),"",SUMIF(Sacak[Adı Soyadı],Sacak[[#This Row],[Adı Soyadı]],Sacak[TUTAR]))</f>
        <v>10305</v>
      </c>
    </row>
    <row r="62" spans="2:9" ht="16.5" thickTop="1" thickBot="1" x14ac:dyDescent="0.3">
      <c r="B62" s="16">
        <f>IF(ISBLANK(C62),"",SUBTOTAL(3, $C$3:C62))</f>
        <v>60</v>
      </c>
      <c r="C62" s="32" t="s">
        <v>29</v>
      </c>
      <c r="D62" s="17" t="s">
        <v>4</v>
      </c>
      <c r="E62" s="18">
        <v>240</v>
      </c>
      <c r="F62" s="18">
        <v>2</v>
      </c>
      <c r="G62" s="45">
        <f>IF(ISBLANK(Sacak[[#This Row],[ÖLÇÜSÜ]]),"",VLOOKUP(Sacak[[#This Row],[ÖLÇÜSÜ]],Fiyat[[Ölçü]:[Birim Fiyatı]],2,0))</f>
        <v>445</v>
      </c>
      <c r="H62" s="45">
        <f>IF(ISBLANK(Sacak[[#This Row],[ÖLÇÜSÜ]]),"",F62*G62)</f>
        <v>890</v>
      </c>
      <c r="I62" s="46">
        <f>IF(ISBLANK(Sacak[[#This Row],[ÖLÇÜSÜ]]),"",SUMIF(Sacak[Adı Soyadı],Sacak[[#This Row],[Adı Soyadı]],Sacak[TUTAR]))</f>
        <v>10305</v>
      </c>
    </row>
    <row r="63" spans="2:9" ht="16.5" thickTop="1" thickBot="1" x14ac:dyDescent="0.3">
      <c r="B63" s="16">
        <f>IF(ISBLANK(C63),"",SUBTOTAL(3, $C$3:C63))</f>
        <v>61</v>
      </c>
      <c r="C63" s="32" t="s">
        <v>29</v>
      </c>
      <c r="D63" s="17" t="s">
        <v>4</v>
      </c>
      <c r="E63" s="18" t="s">
        <v>42</v>
      </c>
      <c r="F63" s="18">
        <v>1</v>
      </c>
      <c r="G63" s="45">
        <f>IF(ISBLANK(Sacak[[#This Row],[ÖLÇÜSÜ]]),"",VLOOKUP(Sacak[[#This Row],[ÖLÇÜSÜ]],Fiyat[[Ölçü]:[Birim Fiyatı]],2,0))</f>
        <v>1000</v>
      </c>
      <c r="H63" s="45">
        <f>IF(ISBLANK(Sacak[[#This Row],[ÖLÇÜSÜ]]),"",F63*G63)</f>
        <v>1000</v>
      </c>
      <c r="I63" s="46">
        <f>IF(ISBLANK(Sacak[[#This Row],[ÖLÇÜSÜ]]),"",SUMIF(Sacak[Adı Soyadı],Sacak[[#This Row],[Adı Soyadı]],Sacak[TUTAR]))</f>
        <v>10305</v>
      </c>
    </row>
    <row r="64" spans="2:9" ht="16.5" thickTop="1" thickBot="1" x14ac:dyDescent="0.3">
      <c r="B64" s="16">
        <f>IF(ISBLANK(C64),"",SUBTOTAL(3, $C$3:C64))</f>
        <v>62</v>
      </c>
      <c r="C64" s="32" t="s">
        <v>9</v>
      </c>
      <c r="D64" s="17" t="s">
        <v>4</v>
      </c>
      <c r="E64" s="18">
        <v>170</v>
      </c>
      <c r="F64" s="18">
        <v>4</v>
      </c>
      <c r="G64" s="45">
        <f>IF(ISBLANK(Sacak[[#This Row],[ÖLÇÜSÜ]]),"",VLOOKUP(Sacak[[#This Row],[ÖLÇÜSÜ]],Fiyat[[Ölçü]:[Birim Fiyatı]],2,0))</f>
        <v>320</v>
      </c>
      <c r="H64" s="45">
        <f>IF(ISBLANK(Sacak[[#This Row],[ÖLÇÜSÜ]]),"",F64*G64)</f>
        <v>1280</v>
      </c>
      <c r="I64" s="46">
        <f>IF(ISBLANK(Sacak[[#This Row],[ÖLÇÜSÜ]]),"",SUMIF(Sacak[Adı Soyadı],Sacak[[#This Row],[Adı Soyadı]],Sacak[TUTAR]))</f>
        <v>4055</v>
      </c>
    </row>
    <row r="65" spans="2:9" ht="16.5" thickTop="1" thickBot="1" x14ac:dyDescent="0.3">
      <c r="B65" s="16">
        <f>IF(ISBLANK(C65),"",SUBTOTAL(3, $C$3:C65))</f>
        <v>63</v>
      </c>
      <c r="C65" s="32" t="s">
        <v>9</v>
      </c>
      <c r="D65" s="17" t="s">
        <v>4</v>
      </c>
      <c r="E65" s="18">
        <v>130</v>
      </c>
      <c r="F65" s="18">
        <v>2</v>
      </c>
      <c r="G65" s="45">
        <f>IF(ISBLANK(Sacak[[#This Row],[ÖLÇÜSÜ]]),"",VLOOKUP(Sacak[[#This Row],[ÖLÇÜSÜ]],Fiyat[[Ölçü]:[Birim Fiyatı]],2,0))</f>
        <v>245</v>
      </c>
      <c r="H65" s="45">
        <f>IF(ISBLANK(Sacak[[#This Row],[ÖLÇÜSÜ]]),"",F65*G65)</f>
        <v>490</v>
      </c>
      <c r="I65" s="46">
        <f>IF(ISBLANK(Sacak[[#This Row],[ÖLÇÜSÜ]]),"",SUMIF(Sacak[Adı Soyadı],Sacak[[#This Row],[Adı Soyadı]],Sacak[TUTAR]))</f>
        <v>4055</v>
      </c>
    </row>
    <row r="66" spans="2:9" ht="16.5" thickTop="1" thickBot="1" x14ac:dyDescent="0.3">
      <c r="B66" s="16">
        <f>IF(ISBLANK(C66),"",SUBTOTAL(3, $C$3:C66))</f>
        <v>64</v>
      </c>
      <c r="C66" s="32" t="s">
        <v>9</v>
      </c>
      <c r="D66" s="17" t="s">
        <v>4</v>
      </c>
      <c r="E66" s="18">
        <v>90</v>
      </c>
      <c r="F66" s="18">
        <v>7</v>
      </c>
      <c r="G66" s="45">
        <f>IF(ISBLANK(Sacak[[#This Row],[ÖLÇÜSÜ]]),"",VLOOKUP(Sacak[[#This Row],[ÖLÇÜSÜ]],Fiyat[[Ölçü]:[Birim Fiyatı]],2,0))</f>
        <v>170</v>
      </c>
      <c r="H66" s="45">
        <f>IF(ISBLANK(Sacak[[#This Row],[ÖLÇÜSÜ]]),"",F66*G66)</f>
        <v>1190</v>
      </c>
      <c r="I66" s="46">
        <f>IF(ISBLANK(Sacak[[#This Row],[ÖLÇÜSÜ]]),"",SUMIF(Sacak[Adı Soyadı],Sacak[[#This Row],[Adı Soyadı]],Sacak[TUTAR]))</f>
        <v>4055</v>
      </c>
    </row>
    <row r="67" spans="2:9" ht="16.5" thickTop="1" thickBot="1" x14ac:dyDescent="0.3">
      <c r="B67" s="16">
        <f>IF(ISBLANK(C67),"",SUBTOTAL(3, $C$3:C67))</f>
        <v>65</v>
      </c>
      <c r="C67" s="32" t="s">
        <v>9</v>
      </c>
      <c r="D67" s="17" t="s">
        <v>7</v>
      </c>
      <c r="E67" s="18">
        <v>200</v>
      </c>
      <c r="F67" s="18">
        <v>3</v>
      </c>
      <c r="G67" s="45">
        <f>IF(ISBLANK(Sacak[[#This Row],[ÖLÇÜSÜ]]),"",VLOOKUP(Sacak[[#This Row],[ÖLÇÜSÜ]],Fiyat[[Ölçü]:[Birim Fiyatı]],2,0))</f>
        <v>365</v>
      </c>
      <c r="H67" s="45">
        <f>IF(ISBLANK(Sacak[[#This Row],[ÖLÇÜSÜ]]),"",F67*G67)</f>
        <v>1095</v>
      </c>
      <c r="I67" s="46">
        <f>IF(ISBLANK(Sacak[[#This Row],[ÖLÇÜSÜ]]),"",SUMIF(Sacak[Adı Soyadı],Sacak[[#This Row],[Adı Soyadı]],Sacak[TUTAR]))</f>
        <v>4055</v>
      </c>
    </row>
    <row r="68" spans="2:9" ht="16.5" thickTop="1" thickBot="1" x14ac:dyDescent="0.3">
      <c r="B68" s="16">
        <f>IF(ISBLANK(C68),"",SUBTOTAL(3, $C$3:C68))</f>
        <v>66</v>
      </c>
      <c r="C68" s="32" t="s">
        <v>5</v>
      </c>
      <c r="D68" s="17" t="s">
        <v>4</v>
      </c>
      <c r="E68" s="18">
        <v>200</v>
      </c>
      <c r="F68" s="18">
        <v>1</v>
      </c>
      <c r="G68" s="45">
        <f>IF(ISBLANK(Sacak[[#This Row],[ÖLÇÜSÜ]]),"",VLOOKUP(Sacak[[#This Row],[ÖLÇÜSÜ]],Fiyat[[Ölçü]:[Birim Fiyatı]],2,0))</f>
        <v>365</v>
      </c>
      <c r="H68" s="45">
        <f>IF(ISBLANK(Sacak[[#This Row],[ÖLÇÜSÜ]]),"",F68*G68)</f>
        <v>365</v>
      </c>
      <c r="I68" s="46">
        <f>IF(ISBLANK(Sacak[[#This Row],[ÖLÇÜSÜ]]),"",SUMIF(Sacak[Adı Soyadı],Sacak[[#This Row],[Adı Soyadı]],Sacak[TUTAR]))</f>
        <v>6635</v>
      </c>
    </row>
    <row r="69" spans="2:9" ht="16.5" thickTop="1" thickBot="1" x14ac:dyDescent="0.3">
      <c r="B69" s="16">
        <f>IF(ISBLANK(C69),"",SUBTOTAL(3, $C$3:C69))</f>
        <v>67</v>
      </c>
      <c r="C69" s="32" t="s">
        <v>5</v>
      </c>
      <c r="D69" s="17" t="s">
        <v>4</v>
      </c>
      <c r="E69" s="18">
        <v>170</v>
      </c>
      <c r="F69" s="18">
        <v>5</v>
      </c>
      <c r="G69" s="45">
        <f>IF(ISBLANK(Sacak[[#This Row],[ÖLÇÜSÜ]]),"",VLOOKUP(Sacak[[#This Row],[ÖLÇÜSÜ]],Fiyat[[Ölçü]:[Birim Fiyatı]],2,0))</f>
        <v>320</v>
      </c>
      <c r="H69" s="45">
        <f>IF(ISBLANK(Sacak[[#This Row],[ÖLÇÜSÜ]]),"",F69*G69)</f>
        <v>1600</v>
      </c>
      <c r="I69" s="46">
        <f>IF(ISBLANK(Sacak[[#This Row],[ÖLÇÜSÜ]]),"",SUMIF(Sacak[Adı Soyadı],Sacak[[#This Row],[Adı Soyadı]],Sacak[TUTAR]))</f>
        <v>6635</v>
      </c>
    </row>
    <row r="70" spans="2:9" ht="16.5" thickTop="1" thickBot="1" x14ac:dyDescent="0.3">
      <c r="B70" s="16">
        <f>IF(ISBLANK(C70),"",SUBTOTAL(3, $C$3:C70))</f>
        <v>68</v>
      </c>
      <c r="C70" s="32" t="s">
        <v>5</v>
      </c>
      <c r="D70" s="17" t="s">
        <v>4</v>
      </c>
      <c r="E70" s="18">
        <v>130</v>
      </c>
      <c r="F70" s="18">
        <v>5</v>
      </c>
      <c r="G70" s="45">
        <f>IF(ISBLANK(Sacak[[#This Row],[ÖLÇÜSÜ]]),"",VLOOKUP(Sacak[[#This Row],[ÖLÇÜSÜ]],Fiyat[[Ölçü]:[Birim Fiyatı]],2,0))</f>
        <v>245</v>
      </c>
      <c r="H70" s="45">
        <f>IF(ISBLANK(Sacak[[#This Row],[ÖLÇÜSÜ]]),"",F70*G70)</f>
        <v>1225</v>
      </c>
      <c r="I70" s="46">
        <f>IF(ISBLANK(Sacak[[#This Row],[ÖLÇÜSÜ]]),"",SUMIF(Sacak[Adı Soyadı],Sacak[[#This Row],[Adı Soyadı]],Sacak[TUTAR]))</f>
        <v>6635</v>
      </c>
    </row>
    <row r="71" spans="2:9" ht="16.5" thickTop="1" thickBot="1" x14ac:dyDescent="0.3">
      <c r="B71" s="16">
        <f>IF(ISBLANK(C71),"",SUBTOTAL(3, $C$3:C71))</f>
        <v>69</v>
      </c>
      <c r="C71" s="32" t="s">
        <v>5</v>
      </c>
      <c r="D71" s="17" t="s">
        <v>4</v>
      </c>
      <c r="E71" s="18">
        <v>80</v>
      </c>
      <c r="F71" s="18">
        <v>1</v>
      </c>
      <c r="G71" s="45">
        <f>IF(ISBLANK(Sacak[[#This Row],[ÖLÇÜSÜ]]),"",VLOOKUP(Sacak[[#This Row],[ÖLÇÜSÜ]],Fiyat[[Ölçü]:[Birim Fiyatı]],2,0))</f>
        <v>150</v>
      </c>
      <c r="H71" s="45">
        <f>IF(ISBLANK(Sacak[[#This Row],[ÖLÇÜSÜ]]),"",F71*G71)</f>
        <v>150</v>
      </c>
      <c r="I71" s="46">
        <f>IF(ISBLANK(Sacak[[#This Row],[ÖLÇÜSÜ]]),"",SUMIF(Sacak[Adı Soyadı],Sacak[[#This Row],[Adı Soyadı]],Sacak[TUTAR]))</f>
        <v>6635</v>
      </c>
    </row>
    <row r="72" spans="2:9" ht="16.5" thickTop="1" thickBot="1" x14ac:dyDescent="0.3">
      <c r="B72" s="16">
        <f>IF(ISBLANK(C72),"",SUBTOTAL(3, $C$3:C72))</f>
        <v>70</v>
      </c>
      <c r="C72" s="32" t="s">
        <v>5</v>
      </c>
      <c r="D72" s="17" t="s">
        <v>4</v>
      </c>
      <c r="E72" s="18" t="s">
        <v>42</v>
      </c>
      <c r="F72" s="18">
        <v>1</v>
      </c>
      <c r="G72" s="45">
        <f>IF(ISBLANK(Sacak[[#This Row],[ÖLÇÜSÜ]]),"",VLOOKUP(Sacak[[#This Row],[ÖLÇÜSÜ]],Fiyat[[Ölçü]:[Birim Fiyatı]],2,0))</f>
        <v>1000</v>
      </c>
      <c r="H72" s="45">
        <f>IF(ISBLANK(Sacak[[#This Row],[ÖLÇÜSÜ]]),"",F72*G72)</f>
        <v>1000</v>
      </c>
      <c r="I72" s="46">
        <f>IF(ISBLANK(Sacak[[#This Row],[ÖLÇÜSÜ]]),"",SUMIF(Sacak[Adı Soyadı],Sacak[[#This Row],[Adı Soyadı]],Sacak[TUTAR]))</f>
        <v>6635</v>
      </c>
    </row>
    <row r="73" spans="2:9" ht="16.5" thickTop="1" thickBot="1" x14ac:dyDescent="0.3">
      <c r="B73" s="16">
        <f>IF(ISBLANK(C73),"",SUBTOTAL(3, $C$3:C73))</f>
        <v>71</v>
      </c>
      <c r="C73" s="32" t="s">
        <v>5</v>
      </c>
      <c r="D73" s="17" t="s">
        <v>7</v>
      </c>
      <c r="E73" s="18">
        <v>200</v>
      </c>
      <c r="F73" s="18">
        <v>3</v>
      </c>
      <c r="G73" s="45">
        <f>IF(ISBLANK(Sacak[[#This Row],[ÖLÇÜSÜ]]),"",VLOOKUP(Sacak[[#This Row],[ÖLÇÜSÜ]],Fiyat[[Ölçü]:[Birim Fiyatı]],2,0))</f>
        <v>365</v>
      </c>
      <c r="H73" s="45">
        <f>IF(ISBLANK(Sacak[[#This Row],[ÖLÇÜSÜ]]),"",F73*G73)</f>
        <v>1095</v>
      </c>
      <c r="I73" s="46">
        <f>IF(ISBLANK(Sacak[[#This Row],[ÖLÇÜSÜ]]),"",SUMIF(Sacak[Adı Soyadı],Sacak[[#This Row],[Adı Soyadı]],Sacak[TUTAR]))</f>
        <v>6635</v>
      </c>
    </row>
    <row r="74" spans="2:9" ht="16.5" thickTop="1" thickBot="1" x14ac:dyDescent="0.3">
      <c r="B74" s="16">
        <f>IF(ISBLANK(C74),"",SUBTOTAL(3, $C$3:C74))</f>
        <v>72</v>
      </c>
      <c r="C74" s="32" t="s">
        <v>5</v>
      </c>
      <c r="D74" s="17" t="s">
        <v>7</v>
      </c>
      <c r="E74" s="18">
        <v>160</v>
      </c>
      <c r="F74" s="18">
        <v>4</v>
      </c>
      <c r="G74" s="45">
        <f>IF(ISBLANK(Sacak[[#This Row],[ÖLÇÜSÜ]]),"",VLOOKUP(Sacak[[#This Row],[ÖLÇÜSÜ]],Fiyat[[Ölçü]:[Birim Fiyatı]],2,0))</f>
        <v>300</v>
      </c>
      <c r="H74" s="45">
        <f>IF(ISBLANK(Sacak[[#This Row],[ÖLÇÜSÜ]]),"",F74*G74)</f>
        <v>1200</v>
      </c>
      <c r="I74" s="46">
        <f>IF(ISBLANK(Sacak[[#This Row],[ÖLÇÜSÜ]]),"",SUMIF(Sacak[Adı Soyadı],Sacak[[#This Row],[Adı Soyadı]],Sacak[TUTAR]))</f>
        <v>6635</v>
      </c>
    </row>
    <row r="75" spans="2:9" ht="16.5" thickTop="1" thickBot="1" x14ac:dyDescent="0.3">
      <c r="B75" s="16">
        <f>IF(ISBLANK(C75),"",SUBTOTAL(3, $C$3:C75))</f>
        <v>73</v>
      </c>
      <c r="C75" s="32" t="s">
        <v>79</v>
      </c>
      <c r="D75" s="17" t="s">
        <v>4</v>
      </c>
      <c r="E75" s="18">
        <v>170</v>
      </c>
      <c r="F75" s="18">
        <v>1</v>
      </c>
      <c r="G75" s="45">
        <f>IF(ISBLANK(Sacak[[#This Row],[ÖLÇÜSÜ]]),"",VLOOKUP(Sacak[[#This Row],[ÖLÇÜSÜ]],Fiyat[[Ölçü]:[Birim Fiyatı]],2,0))</f>
        <v>320</v>
      </c>
      <c r="H75" s="45">
        <f>IF(ISBLANK(Sacak[[#This Row],[ÖLÇÜSÜ]]),"",F75*G75)</f>
        <v>320</v>
      </c>
      <c r="I75" s="46">
        <f>IF(ISBLANK(Sacak[[#This Row],[ÖLÇÜSÜ]]),"",SUMIF(Sacak[Adı Soyadı],Sacak[[#This Row],[Adı Soyadı]],Sacak[TUTAR]))</f>
        <v>490</v>
      </c>
    </row>
    <row r="76" spans="2:9" ht="16.5" thickTop="1" thickBot="1" x14ac:dyDescent="0.3">
      <c r="B76" s="16">
        <f>IF(ISBLANK(C76),"",SUBTOTAL(3, $C$3:C76))</f>
        <v>74</v>
      </c>
      <c r="C76" s="32" t="s">
        <v>79</v>
      </c>
      <c r="D76" s="17" t="s">
        <v>4</v>
      </c>
      <c r="E76" s="18">
        <v>90</v>
      </c>
      <c r="F76" s="18">
        <v>1</v>
      </c>
      <c r="G76" s="45">
        <f>IF(ISBLANK(Sacak[[#This Row],[ÖLÇÜSÜ]]),"",VLOOKUP(Sacak[[#This Row],[ÖLÇÜSÜ]],Fiyat[[Ölçü]:[Birim Fiyatı]],2,0))</f>
        <v>170</v>
      </c>
      <c r="H76" s="45">
        <f>IF(ISBLANK(Sacak[[#This Row],[ÖLÇÜSÜ]]),"",F76*G76)</f>
        <v>170</v>
      </c>
      <c r="I76" s="46">
        <f>IF(ISBLANK(Sacak[[#This Row],[ÖLÇÜSÜ]]),"",SUMIF(Sacak[Adı Soyadı],Sacak[[#This Row],[Adı Soyadı]],Sacak[TUTAR]))</f>
        <v>490</v>
      </c>
    </row>
    <row r="77" spans="2:9" ht="16.5" thickTop="1" thickBot="1" x14ac:dyDescent="0.3">
      <c r="B77" s="16">
        <f>IF(ISBLANK(C77),"",SUBTOTAL(3, $C$3:C77))</f>
        <v>75</v>
      </c>
      <c r="C77" s="32" t="s">
        <v>54</v>
      </c>
      <c r="D77" s="17" t="s">
        <v>4</v>
      </c>
      <c r="E77" s="18" t="s">
        <v>55</v>
      </c>
      <c r="F77" s="18">
        <v>1</v>
      </c>
      <c r="G77" s="45">
        <f>IF(ISBLANK(Sacak[[#This Row],[ÖLÇÜSÜ]]),"",VLOOKUP(Sacak[[#This Row],[ÖLÇÜSÜ]],Fiyat[[Ölçü]:[Birim Fiyatı]],2,0))</f>
        <v>600</v>
      </c>
      <c r="H77" s="45">
        <f>IF(ISBLANK(Sacak[[#This Row],[ÖLÇÜSÜ]]),"",F77*G77)</f>
        <v>600</v>
      </c>
      <c r="I77" s="46">
        <f>IF(ISBLANK(Sacak[[#This Row],[ÖLÇÜSÜ]]),"",SUMIF(Sacak[Adı Soyadı],Sacak[[#This Row],[Adı Soyadı]],Sacak[TUTAR]))</f>
        <v>2675</v>
      </c>
    </row>
    <row r="78" spans="2:9" ht="16.5" thickTop="1" thickBot="1" x14ac:dyDescent="0.3">
      <c r="B78" s="16">
        <f>IF(ISBLANK(C78),"",SUBTOTAL(3, $C$3:C78))</f>
        <v>76</v>
      </c>
      <c r="C78" s="32" t="s">
        <v>54</v>
      </c>
      <c r="D78" s="17" t="s">
        <v>4</v>
      </c>
      <c r="E78" s="18">
        <v>90</v>
      </c>
      <c r="F78" s="18">
        <v>1</v>
      </c>
      <c r="G78" s="45">
        <f>IF(ISBLANK(Sacak[[#This Row],[ÖLÇÜSÜ]]),"",VLOOKUP(Sacak[[#This Row],[ÖLÇÜSÜ]],Fiyat[[Ölçü]:[Birim Fiyatı]],2,0))</f>
        <v>170</v>
      </c>
      <c r="H78" s="45">
        <f>IF(ISBLANK(Sacak[[#This Row],[ÖLÇÜSÜ]]),"",F78*G78)</f>
        <v>170</v>
      </c>
      <c r="I78" s="46">
        <f>IF(ISBLANK(Sacak[[#This Row],[ÖLÇÜSÜ]]),"",SUMIF(Sacak[Adı Soyadı],Sacak[[#This Row],[Adı Soyadı]],Sacak[TUTAR]))</f>
        <v>2675</v>
      </c>
    </row>
    <row r="79" spans="2:9" ht="16.5" thickTop="1" thickBot="1" x14ac:dyDescent="0.3">
      <c r="B79" s="16">
        <f>IF(ISBLANK(C79),"",SUBTOTAL(3, $C$3:C79))</f>
        <v>77</v>
      </c>
      <c r="C79" s="32" t="s">
        <v>54</v>
      </c>
      <c r="D79" s="17" t="s">
        <v>4</v>
      </c>
      <c r="E79" s="18">
        <v>90</v>
      </c>
      <c r="F79" s="18">
        <v>1</v>
      </c>
      <c r="G79" s="45">
        <f>IF(ISBLANK(Sacak[[#This Row],[ÖLÇÜSÜ]]),"",VLOOKUP(Sacak[[#This Row],[ÖLÇÜSÜ]],Fiyat[[Ölçü]:[Birim Fiyatı]],2,0))</f>
        <v>170</v>
      </c>
      <c r="H79" s="45">
        <f>IF(ISBLANK(Sacak[[#This Row],[ÖLÇÜSÜ]]),"",F79*G79)</f>
        <v>170</v>
      </c>
      <c r="I79" s="46">
        <f>IF(ISBLANK(Sacak[[#This Row],[ÖLÇÜSÜ]]),"",SUMIF(Sacak[Adı Soyadı],Sacak[[#This Row],[Adı Soyadı]],Sacak[TUTAR]))</f>
        <v>2675</v>
      </c>
    </row>
    <row r="80" spans="2:9" ht="16.5" thickTop="1" thickBot="1" x14ac:dyDescent="0.3">
      <c r="B80" s="16">
        <f>IF(ISBLANK(C80),"",SUBTOTAL(3, $C$3:C80))</f>
        <v>78</v>
      </c>
      <c r="C80" s="32" t="s">
        <v>54</v>
      </c>
      <c r="D80" s="17" t="s">
        <v>7</v>
      </c>
      <c r="E80" s="18">
        <v>160</v>
      </c>
      <c r="F80" s="18">
        <v>1</v>
      </c>
      <c r="G80" s="45">
        <f>IF(ISBLANK(Sacak[[#This Row],[ÖLÇÜSÜ]]),"",VLOOKUP(Sacak[[#This Row],[ÖLÇÜSÜ]],Fiyat[[Ölçü]:[Birim Fiyatı]],2,0))</f>
        <v>300</v>
      </c>
      <c r="H80" s="45">
        <f>IF(ISBLANK(Sacak[[#This Row],[ÖLÇÜSÜ]]),"",F80*G80)</f>
        <v>300</v>
      </c>
      <c r="I80" s="46">
        <f>IF(ISBLANK(Sacak[[#This Row],[ÖLÇÜSÜ]]),"",SUMIF(Sacak[Adı Soyadı],Sacak[[#This Row],[Adı Soyadı]],Sacak[TUTAR]))</f>
        <v>2675</v>
      </c>
    </row>
    <row r="81" spans="2:9" ht="16.5" thickTop="1" thickBot="1" x14ac:dyDescent="0.3">
      <c r="B81" s="16">
        <f>IF(ISBLANK(C81),"",SUBTOTAL(3, $C$3:C81))</f>
        <v>79</v>
      </c>
      <c r="C81" s="32" t="s">
        <v>54</v>
      </c>
      <c r="D81" s="17" t="s">
        <v>7</v>
      </c>
      <c r="E81" s="18">
        <v>130</v>
      </c>
      <c r="F81" s="18">
        <v>1</v>
      </c>
      <c r="G81" s="45">
        <f>IF(ISBLANK(Sacak[[#This Row],[ÖLÇÜSÜ]]),"",VLOOKUP(Sacak[[#This Row],[ÖLÇÜSÜ]],Fiyat[[Ölçü]:[Birim Fiyatı]],2,0))</f>
        <v>245</v>
      </c>
      <c r="H81" s="45">
        <f>IF(ISBLANK(Sacak[[#This Row],[ÖLÇÜSÜ]]),"",F81*G81)</f>
        <v>245</v>
      </c>
      <c r="I81" s="46">
        <f>IF(ISBLANK(Sacak[[#This Row],[ÖLÇÜSÜ]]),"",SUMIF(Sacak[Adı Soyadı],Sacak[[#This Row],[Adı Soyadı]],Sacak[TUTAR]))</f>
        <v>2675</v>
      </c>
    </row>
    <row r="82" spans="2:9" ht="16.5" thickTop="1" thickBot="1" x14ac:dyDescent="0.3">
      <c r="B82" s="16">
        <f>IF(ISBLANK(C82),"",SUBTOTAL(3, $C$3:C82))</f>
        <v>80</v>
      </c>
      <c r="C82" s="32" t="s">
        <v>54</v>
      </c>
      <c r="D82" s="17" t="s">
        <v>7</v>
      </c>
      <c r="E82" s="18">
        <v>90</v>
      </c>
      <c r="F82" s="18">
        <v>7</v>
      </c>
      <c r="G82" s="45">
        <f>IF(ISBLANK(Sacak[[#This Row],[ÖLÇÜSÜ]]),"",VLOOKUP(Sacak[[#This Row],[ÖLÇÜSÜ]],Fiyat[[Ölçü]:[Birim Fiyatı]],2,0))</f>
        <v>170</v>
      </c>
      <c r="H82" s="45">
        <f>IF(ISBLANK(Sacak[[#This Row],[ÖLÇÜSÜ]]),"",F82*G82)</f>
        <v>1190</v>
      </c>
      <c r="I82" s="46">
        <f>IF(ISBLANK(Sacak[[#This Row],[ÖLÇÜSÜ]]),"",SUMIF(Sacak[Adı Soyadı],Sacak[[#This Row],[Adı Soyadı]],Sacak[TUTAR]))</f>
        <v>2675</v>
      </c>
    </row>
    <row r="83" spans="2:9" ht="16.5" thickTop="1" thickBot="1" x14ac:dyDescent="0.3">
      <c r="B83" s="16">
        <f>IF(ISBLANK(C83),"",SUBTOTAL(3, $C$3:C83))</f>
        <v>81</v>
      </c>
      <c r="C83" s="32" t="s">
        <v>49</v>
      </c>
      <c r="D83" s="17" t="s">
        <v>7</v>
      </c>
      <c r="E83" s="18">
        <v>160</v>
      </c>
      <c r="F83" s="18">
        <v>1</v>
      </c>
      <c r="G83" s="45">
        <f>IF(ISBLANK(Sacak[[#This Row],[ÖLÇÜSÜ]]),"",VLOOKUP(Sacak[[#This Row],[ÖLÇÜSÜ]],Fiyat[[Ölçü]:[Birim Fiyatı]],2,0))</f>
        <v>300</v>
      </c>
      <c r="H83" s="45">
        <f>IF(ISBLANK(Sacak[[#This Row],[ÖLÇÜSÜ]]),"",F83*G83)</f>
        <v>300</v>
      </c>
      <c r="I83" s="46">
        <f>IF(ISBLANK(Sacak[[#This Row],[ÖLÇÜSÜ]]),"",SUMIF(Sacak[Adı Soyadı],Sacak[[#This Row],[Adı Soyadı]],Sacak[TUTAR]))</f>
        <v>545</v>
      </c>
    </row>
    <row r="84" spans="2:9" ht="16.5" thickTop="1" thickBot="1" x14ac:dyDescent="0.3">
      <c r="B84" s="16">
        <f>IF(ISBLANK(C84),"",SUBTOTAL(3, $C$3:C84))</f>
        <v>82</v>
      </c>
      <c r="C84" s="32" t="s">
        <v>49</v>
      </c>
      <c r="D84" s="17" t="s">
        <v>7</v>
      </c>
      <c r="E84" s="18">
        <v>130</v>
      </c>
      <c r="F84" s="18">
        <v>1</v>
      </c>
      <c r="G84" s="45">
        <f>IF(ISBLANK(Sacak[[#This Row],[ÖLÇÜSÜ]]),"",VLOOKUP(Sacak[[#This Row],[ÖLÇÜSÜ]],Fiyat[[Ölçü]:[Birim Fiyatı]],2,0))</f>
        <v>245</v>
      </c>
      <c r="H84" s="45">
        <f>IF(ISBLANK(Sacak[[#This Row],[ÖLÇÜSÜ]]),"",F84*G84)</f>
        <v>245</v>
      </c>
      <c r="I84" s="46">
        <f>IF(ISBLANK(Sacak[[#This Row],[ÖLÇÜSÜ]]),"",SUMIF(Sacak[Adı Soyadı],Sacak[[#This Row],[Adı Soyadı]],Sacak[TUTAR]))</f>
        <v>545</v>
      </c>
    </row>
    <row r="85" spans="2:9" ht="16.5" thickTop="1" thickBot="1" x14ac:dyDescent="0.3">
      <c r="B85" s="16">
        <f>IF(ISBLANK(C85),"",SUBTOTAL(3, $C$3:C85))</f>
        <v>83</v>
      </c>
      <c r="C85" s="32" t="s">
        <v>32</v>
      </c>
      <c r="D85" s="17" t="s">
        <v>4</v>
      </c>
      <c r="E85" s="18">
        <v>200</v>
      </c>
      <c r="F85" s="18">
        <v>1</v>
      </c>
      <c r="G85" s="45">
        <f>IF(ISBLANK(Sacak[[#This Row],[ÖLÇÜSÜ]]),"",VLOOKUP(Sacak[[#This Row],[ÖLÇÜSÜ]],Fiyat[[Ölçü]:[Birim Fiyatı]],2,0))</f>
        <v>365</v>
      </c>
      <c r="H85" s="45">
        <f>IF(ISBLANK(Sacak[[#This Row],[ÖLÇÜSÜ]]),"",F85*G85)</f>
        <v>365</v>
      </c>
      <c r="I85" s="46">
        <f>IF(ISBLANK(Sacak[[#This Row],[ÖLÇÜSÜ]]),"",SUMIF(Sacak[Adı Soyadı],Sacak[[#This Row],[Adı Soyadı]],Sacak[TUTAR]))</f>
        <v>3630</v>
      </c>
    </row>
    <row r="86" spans="2:9" ht="16.5" thickTop="1" thickBot="1" x14ac:dyDescent="0.3">
      <c r="B86" s="16">
        <f>IF(ISBLANK(C86),"",SUBTOTAL(3, $C$3:C86))</f>
        <v>84</v>
      </c>
      <c r="C86" s="32" t="s">
        <v>32</v>
      </c>
      <c r="D86" s="17" t="s">
        <v>4</v>
      </c>
      <c r="E86" s="18">
        <v>300</v>
      </c>
      <c r="F86" s="18">
        <v>1</v>
      </c>
      <c r="G86" s="45">
        <f>IF(ISBLANK(Sacak[[#This Row],[ÖLÇÜSÜ]]),"",VLOOKUP(Sacak[[#This Row],[ÖLÇÜSÜ]],Fiyat[[Ölçü]:[Birim Fiyatı]],2,0))</f>
        <v>570</v>
      </c>
      <c r="H86" s="45">
        <f>IF(ISBLANK(Sacak[[#This Row],[ÖLÇÜSÜ]]),"",F86*G86)</f>
        <v>570</v>
      </c>
      <c r="I86" s="46">
        <f>IF(ISBLANK(Sacak[[#This Row],[ÖLÇÜSÜ]]),"",SUMIF(Sacak[Adı Soyadı],Sacak[[#This Row],[Adı Soyadı]],Sacak[TUTAR]))</f>
        <v>3630</v>
      </c>
    </row>
    <row r="87" spans="2:9" ht="16.5" thickTop="1" thickBot="1" x14ac:dyDescent="0.3">
      <c r="B87" s="16">
        <f>IF(ISBLANK(C87),"",SUBTOTAL(3, $C$3:C87))</f>
        <v>85</v>
      </c>
      <c r="C87" s="32" t="s">
        <v>32</v>
      </c>
      <c r="D87" s="17" t="s">
        <v>4</v>
      </c>
      <c r="E87" s="18">
        <v>170</v>
      </c>
      <c r="F87" s="18">
        <v>2</v>
      </c>
      <c r="G87" s="45">
        <f>IF(ISBLANK(Sacak[[#This Row],[ÖLÇÜSÜ]]),"",VLOOKUP(Sacak[[#This Row],[ÖLÇÜSÜ]],Fiyat[[Ölçü]:[Birim Fiyatı]],2,0))</f>
        <v>320</v>
      </c>
      <c r="H87" s="45">
        <f>IF(ISBLANK(Sacak[[#This Row],[ÖLÇÜSÜ]]),"",F87*G87)</f>
        <v>640</v>
      </c>
      <c r="I87" s="46">
        <f>IF(ISBLANK(Sacak[[#This Row],[ÖLÇÜSÜ]]),"",SUMIF(Sacak[Adı Soyadı],Sacak[[#This Row],[Adı Soyadı]],Sacak[TUTAR]))</f>
        <v>3630</v>
      </c>
    </row>
    <row r="88" spans="2:9" ht="16.5" thickTop="1" thickBot="1" x14ac:dyDescent="0.3">
      <c r="B88" s="16">
        <f>IF(ISBLANK(C88),"",SUBTOTAL(3, $C$3:C88))</f>
        <v>86</v>
      </c>
      <c r="C88" s="32" t="s">
        <v>32</v>
      </c>
      <c r="D88" s="17" t="s">
        <v>4</v>
      </c>
      <c r="E88" s="18">
        <v>130</v>
      </c>
      <c r="F88" s="18">
        <v>7</v>
      </c>
      <c r="G88" s="45">
        <f>IF(ISBLANK(Sacak[[#This Row],[ÖLÇÜSÜ]]),"",VLOOKUP(Sacak[[#This Row],[ÖLÇÜSÜ]],Fiyat[[Ölçü]:[Birim Fiyatı]],2,0))</f>
        <v>245</v>
      </c>
      <c r="H88" s="45">
        <f>IF(ISBLANK(Sacak[[#This Row],[ÖLÇÜSÜ]]),"",F88*G88)</f>
        <v>1715</v>
      </c>
      <c r="I88" s="46">
        <f>IF(ISBLANK(Sacak[[#This Row],[ÖLÇÜSÜ]]),"",SUMIF(Sacak[Adı Soyadı],Sacak[[#This Row],[Adı Soyadı]],Sacak[TUTAR]))</f>
        <v>3630</v>
      </c>
    </row>
    <row r="89" spans="2:9" ht="16.5" thickTop="1" thickBot="1" x14ac:dyDescent="0.3">
      <c r="B89" s="16">
        <f>IF(ISBLANK(C89),"",SUBTOTAL(3, $C$3:C89))</f>
        <v>87</v>
      </c>
      <c r="C89" s="32" t="s">
        <v>32</v>
      </c>
      <c r="D89" s="17" t="s">
        <v>4</v>
      </c>
      <c r="E89" s="18">
        <v>90</v>
      </c>
      <c r="F89" s="18">
        <v>2</v>
      </c>
      <c r="G89" s="45">
        <f>IF(ISBLANK(Sacak[[#This Row],[ÖLÇÜSÜ]]),"",VLOOKUP(Sacak[[#This Row],[ÖLÇÜSÜ]],Fiyat[[Ölçü]:[Birim Fiyatı]],2,0))</f>
        <v>170</v>
      </c>
      <c r="H89" s="45">
        <f>IF(ISBLANK(Sacak[[#This Row],[ÖLÇÜSÜ]]),"",F89*G89)</f>
        <v>340</v>
      </c>
      <c r="I89" s="46">
        <f>IF(ISBLANK(Sacak[[#This Row],[ÖLÇÜSÜ]]),"",SUMIF(Sacak[Adı Soyadı],Sacak[[#This Row],[Adı Soyadı]],Sacak[TUTAR]))</f>
        <v>3630</v>
      </c>
    </row>
    <row r="90" spans="2:9" ht="16.5" thickTop="1" thickBot="1" x14ac:dyDescent="0.3">
      <c r="B90" s="16">
        <f>IF(ISBLANK(C90),"",SUBTOTAL(3, $C$3:C90))</f>
        <v>88</v>
      </c>
      <c r="C90" s="32" t="s">
        <v>72</v>
      </c>
      <c r="D90" s="17" t="s">
        <v>4</v>
      </c>
      <c r="E90" s="18">
        <v>200</v>
      </c>
      <c r="F90" s="18">
        <v>1</v>
      </c>
      <c r="G90" s="45">
        <f>IF(ISBLANK(Sacak[[#This Row],[ÖLÇÜSÜ]]),"",VLOOKUP(Sacak[[#This Row],[ÖLÇÜSÜ]],Fiyat[[Ölçü]:[Birim Fiyatı]],2,0))</f>
        <v>365</v>
      </c>
      <c r="H90" s="45">
        <f>IF(ISBLANK(Sacak[[#This Row],[ÖLÇÜSÜ]]),"",F90*G90)</f>
        <v>365</v>
      </c>
      <c r="I90" s="46">
        <f>IF(ISBLANK(Sacak[[#This Row],[ÖLÇÜSÜ]]),"",SUMIF(Sacak[Adı Soyadı],Sacak[[#This Row],[Adı Soyadı]],Sacak[TUTAR]))</f>
        <v>3040</v>
      </c>
    </row>
    <row r="91" spans="2:9" ht="16.5" thickTop="1" thickBot="1" x14ac:dyDescent="0.3">
      <c r="B91" s="16">
        <f>IF(ISBLANK(C91),"",SUBTOTAL(3, $C$3:C91))</f>
        <v>89</v>
      </c>
      <c r="C91" s="32" t="s">
        <v>72</v>
      </c>
      <c r="D91" s="17" t="s">
        <v>4</v>
      </c>
      <c r="E91" s="18">
        <v>170</v>
      </c>
      <c r="F91" s="18">
        <v>6</v>
      </c>
      <c r="G91" s="45">
        <f>IF(ISBLANK(Sacak[[#This Row],[ÖLÇÜSÜ]]),"",VLOOKUP(Sacak[[#This Row],[ÖLÇÜSÜ]],Fiyat[[Ölçü]:[Birim Fiyatı]],2,0))</f>
        <v>320</v>
      </c>
      <c r="H91" s="45">
        <f>IF(ISBLANK(Sacak[[#This Row],[ÖLÇÜSÜ]]),"",F91*G91)</f>
        <v>1920</v>
      </c>
      <c r="I91" s="46">
        <f>IF(ISBLANK(Sacak[[#This Row],[ÖLÇÜSÜ]]),"",SUMIF(Sacak[Adı Soyadı],Sacak[[#This Row],[Adı Soyadı]],Sacak[TUTAR]))</f>
        <v>3040</v>
      </c>
    </row>
    <row r="92" spans="2:9" ht="16.5" thickTop="1" thickBot="1" x14ac:dyDescent="0.3">
      <c r="B92" s="16">
        <f>IF(ISBLANK(C92),"",SUBTOTAL(3, $C$3:C92))</f>
        <v>90</v>
      </c>
      <c r="C92" s="32" t="s">
        <v>72</v>
      </c>
      <c r="D92" s="17" t="s">
        <v>4</v>
      </c>
      <c r="E92" s="18">
        <v>130</v>
      </c>
      <c r="F92" s="18">
        <v>1</v>
      </c>
      <c r="G92" s="45">
        <f>IF(ISBLANK(Sacak[[#This Row],[ÖLÇÜSÜ]]),"",VLOOKUP(Sacak[[#This Row],[ÖLÇÜSÜ]],Fiyat[[Ölçü]:[Birim Fiyatı]],2,0))</f>
        <v>245</v>
      </c>
      <c r="H92" s="45">
        <f>IF(ISBLANK(Sacak[[#This Row],[ÖLÇÜSÜ]]),"",F92*G92)</f>
        <v>245</v>
      </c>
      <c r="I92" s="46">
        <f>IF(ISBLANK(Sacak[[#This Row],[ÖLÇÜSÜ]]),"",SUMIF(Sacak[Adı Soyadı],Sacak[[#This Row],[Adı Soyadı]],Sacak[TUTAR]))</f>
        <v>3040</v>
      </c>
    </row>
    <row r="93" spans="2:9" ht="16.5" thickTop="1" thickBot="1" x14ac:dyDescent="0.3">
      <c r="B93" s="16">
        <f>IF(ISBLANK(C93),"",SUBTOTAL(3, $C$3:C93))</f>
        <v>91</v>
      </c>
      <c r="C93" s="32" t="s">
        <v>72</v>
      </c>
      <c r="D93" s="17" t="s">
        <v>7</v>
      </c>
      <c r="E93" s="18">
        <v>90</v>
      </c>
      <c r="F93" s="18">
        <v>3</v>
      </c>
      <c r="G93" s="45">
        <f>IF(ISBLANK(Sacak[[#This Row],[ÖLÇÜSÜ]]),"",VLOOKUP(Sacak[[#This Row],[ÖLÇÜSÜ]],Fiyat[[Ölçü]:[Birim Fiyatı]],2,0))</f>
        <v>170</v>
      </c>
      <c r="H93" s="45">
        <f>IF(ISBLANK(Sacak[[#This Row],[ÖLÇÜSÜ]]),"",F93*G93)</f>
        <v>510</v>
      </c>
      <c r="I93" s="46">
        <f>IF(ISBLANK(Sacak[[#This Row],[ÖLÇÜSÜ]]),"",SUMIF(Sacak[Adı Soyadı],Sacak[[#This Row],[Adı Soyadı]],Sacak[TUTAR]))</f>
        <v>3040</v>
      </c>
    </row>
    <row r="94" spans="2:9" ht="16.5" thickTop="1" thickBot="1" x14ac:dyDescent="0.3">
      <c r="B94" s="16">
        <f>IF(ISBLANK(C94),"",SUBTOTAL(3, $C$3:C94))</f>
        <v>92</v>
      </c>
      <c r="C94" s="32" t="s">
        <v>28</v>
      </c>
      <c r="D94" s="17" t="s">
        <v>4</v>
      </c>
      <c r="E94" s="18">
        <v>250</v>
      </c>
      <c r="F94" s="18">
        <v>1</v>
      </c>
      <c r="G94" s="45">
        <f>IF(ISBLANK(Sacak[[#This Row],[ÖLÇÜSÜ]]),"",VLOOKUP(Sacak[[#This Row],[ÖLÇÜSÜ]],Fiyat[[Ölçü]:[Birim Fiyatı]],2,0))</f>
        <v>475</v>
      </c>
      <c r="H94" s="45">
        <f>IF(ISBLANK(Sacak[[#This Row],[ÖLÇÜSÜ]]),"",F94*G94)</f>
        <v>475</v>
      </c>
      <c r="I94" s="46">
        <f>IF(ISBLANK(Sacak[[#This Row],[ÖLÇÜSÜ]]),"",SUMIF(Sacak[Adı Soyadı],Sacak[[#This Row],[Adı Soyadı]],Sacak[TUTAR]))</f>
        <v>6960</v>
      </c>
    </row>
    <row r="95" spans="2:9" ht="16.5" thickTop="1" thickBot="1" x14ac:dyDescent="0.3">
      <c r="B95" s="16">
        <f>IF(ISBLANK(C95),"",SUBTOTAL(3, $C$3:C95))</f>
        <v>93</v>
      </c>
      <c r="C95" s="32" t="s">
        <v>28</v>
      </c>
      <c r="D95" s="17" t="s">
        <v>4</v>
      </c>
      <c r="E95" s="18">
        <v>240</v>
      </c>
      <c r="F95" s="18">
        <v>1</v>
      </c>
      <c r="G95" s="45">
        <f>IF(ISBLANK(Sacak[[#This Row],[ÖLÇÜSÜ]]),"",VLOOKUP(Sacak[[#This Row],[ÖLÇÜSÜ]],Fiyat[[Ölçü]:[Birim Fiyatı]],2,0))</f>
        <v>445</v>
      </c>
      <c r="H95" s="45">
        <f>IF(ISBLANK(Sacak[[#This Row],[ÖLÇÜSÜ]]),"",F95*G95)</f>
        <v>445</v>
      </c>
      <c r="I95" s="46">
        <f>IF(ISBLANK(Sacak[[#This Row],[ÖLÇÜSÜ]]),"",SUMIF(Sacak[Adı Soyadı],Sacak[[#This Row],[Adı Soyadı]],Sacak[TUTAR]))</f>
        <v>6960</v>
      </c>
    </row>
    <row r="96" spans="2:9" ht="16.5" thickTop="1" thickBot="1" x14ac:dyDescent="0.3">
      <c r="B96" s="16">
        <f>IF(ISBLANK(C96),"",SUBTOTAL(3, $C$3:C96))</f>
        <v>94</v>
      </c>
      <c r="C96" s="32" t="s">
        <v>28</v>
      </c>
      <c r="D96" s="17" t="s">
        <v>4</v>
      </c>
      <c r="E96" s="18">
        <v>300</v>
      </c>
      <c r="F96" s="18">
        <v>4</v>
      </c>
      <c r="G96" s="45">
        <f>IF(ISBLANK(Sacak[[#This Row],[ÖLÇÜSÜ]]),"",VLOOKUP(Sacak[[#This Row],[ÖLÇÜSÜ]],Fiyat[[Ölçü]:[Birim Fiyatı]],2,0))</f>
        <v>570</v>
      </c>
      <c r="H96" s="45">
        <f>IF(ISBLANK(Sacak[[#This Row],[ÖLÇÜSÜ]]),"",F96*G96)</f>
        <v>2280</v>
      </c>
      <c r="I96" s="46">
        <f>IF(ISBLANK(Sacak[[#This Row],[ÖLÇÜSÜ]]),"",SUMIF(Sacak[Adı Soyadı],Sacak[[#This Row],[Adı Soyadı]],Sacak[TUTAR]))</f>
        <v>6960</v>
      </c>
    </row>
    <row r="97" spans="2:9" ht="16.5" thickTop="1" thickBot="1" x14ac:dyDescent="0.3">
      <c r="B97" s="16">
        <f>IF(ISBLANK(C97),"",SUBTOTAL(3, $C$3:C97))</f>
        <v>95</v>
      </c>
      <c r="C97" s="32" t="s">
        <v>28</v>
      </c>
      <c r="D97" s="17" t="s">
        <v>4</v>
      </c>
      <c r="E97" s="18">
        <v>200</v>
      </c>
      <c r="F97" s="18">
        <v>2</v>
      </c>
      <c r="G97" s="45">
        <f>IF(ISBLANK(Sacak[[#This Row],[ÖLÇÜSÜ]]),"",VLOOKUP(Sacak[[#This Row],[ÖLÇÜSÜ]],Fiyat[[Ölçü]:[Birim Fiyatı]],2,0))</f>
        <v>365</v>
      </c>
      <c r="H97" s="45">
        <f>IF(ISBLANK(Sacak[[#This Row],[ÖLÇÜSÜ]]),"",F97*G97)</f>
        <v>730</v>
      </c>
      <c r="I97" s="46">
        <f>IF(ISBLANK(Sacak[[#This Row],[ÖLÇÜSÜ]]),"",SUMIF(Sacak[Adı Soyadı],Sacak[[#This Row],[Adı Soyadı]],Sacak[TUTAR]))</f>
        <v>6960</v>
      </c>
    </row>
    <row r="98" spans="2:9" ht="16.5" thickTop="1" thickBot="1" x14ac:dyDescent="0.3">
      <c r="B98" s="16">
        <f>IF(ISBLANK(C98),"",SUBTOTAL(3, $C$3:C98))</f>
        <v>96</v>
      </c>
      <c r="C98" s="32" t="s">
        <v>28</v>
      </c>
      <c r="D98" s="17" t="s">
        <v>4</v>
      </c>
      <c r="E98" s="18">
        <v>170</v>
      </c>
      <c r="F98" s="18">
        <v>7</v>
      </c>
      <c r="G98" s="45">
        <f>IF(ISBLANK(Sacak[[#This Row],[ÖLÇÜSÜ]]),"",VLOOKUP(Sacak[[#This Row],[ÖLÇÜSÜ]],Fiyat[[Ölçü]:[Birim Fiyatı]],2,0))</f>
        <v>320</v>
      </c>
      <c r="H98" s="45">
        <f>IF(ISBLANK(Sacak[[#This Row],[ÖLÇÜSÜ]]),"",F98*G98)</f>
        <v>2240</v>
      </c>
      <c r="I98" s="46">
        <f>IF(ISBLANK(Sacak[[#This Row],[ÖLÇÜSÜ]]),"",SUMIF(Sacak[Adı Soyadı],Sacak[[#This Row],[Adı Soyadı]],Sacak[TUTAR]))</f>
        <v>6960</v>
      </c>
    </row>
    <row r="99" spans="2:9" ht="16.5" thickTop="1" thickBot="1" x14ac:dyDescent="0.3">
      <c r="B99" s="16">
        <f>IF(ISBLANK(C99),"",SUBTOTAL(3, $C$3:C99))</f>
        <v>97</v>
      </c>
      <c r="C99" s="32" t="s">
        <v>28</v>
      </c>
      <c r="D99" s="17" t="s">
        <v>4</v>
      </c>
      <c r="E99" s="18">
        <v>130</v>
      </c>
      <c r="F99" s="18">
        <v>2</v>
      </c>
      <c r="G99" s="45">
        <f>IF(ISBLANK(Sacak[[#This Row],[ÖLÇÜSÜ]]),"",VLOOKUP(Sacak[[#This Row],[ÖLÇÜSÜ]],Fiyat[[Ölçü]:[Birim Fiyatı]],2,0))</f>
        <v>245</v>
      </c>
      <c r="H99" s="45">
        <f>IF(ISBLANK(Sacak[[#This Row],[ÖLÇÜSÜ]]),"",F99*G99)</f>
        <v>490</v>
      </c>
      <c r="I99" s="46">
        <f>IF(ISBLANK(Sacak[[#This Row],[ÖLÇÜSÜ]]),"",SUMIF(Sacak[Adı Soyadı],Sacak[[#This Row],[Adı Soyadı]],Sacak[TUTAR]))</f>
        <v>6960</v>
      </c>
    </row>
    <row r="100" spans="2:9" ht="16.5" thickTop="1" thickBot="1" x14ac:dyDescent="0.3">
      <c r="B100" s="16">
        <f>IF(ISBLANK(C100),"",SUBTOTAL(3, $C$3:C100))</f>
        <v>98</v>
      </c>
      <c r="C100" s="32" t="s">
        <v>28</v>
      </c>
      <c r="D100" s="17" t="s">
        <v>7</v>
      </c>
      <c r="E100" s="18">
        <v>160</v>
      </c>
      <c r="F100" s="18">
        <v>1</v>
      </c>
      <c r="G100" s="45">
        <f>IF(ISBLANK(Sacak[[#This Row],[ÖLÇÜSÜ]]),"",VLOOKUP(Sacak[[#This Row],[ÖLÇÜSÜ]],Fiyat[[Ölçü]:[Birim Fiyatı]],2,0))</f>
        <v>300</v>
      </c>
      <c r="H100" s="45">
        <f>IF(ISBLANK(Sacak[[#This Row],[ÖLÇÜSÜ]]),"",F100*G100)</f>
        <v>300</v>
      </c>
      <c r="I100" s="46">
        <f>IF(ISBLANK(Sacak[[#This Row],[ÖLÇÜSÜ]]),"",SUMIF(Sacak[Adı Soyadı],Sacak[[#This Row],[Adı Soyadı]],Sacak[TUTAR]))</f>
        <v>6960</v>
      </c>
    </row>
    <row r="101" spans="2:9" ht="16.5" thickTop="1" thickBot="1" x14ac:dyDescent="0.3">
      <c r="B101" s="16">
        <f>IF(ISBLANK(C101),"",SUBTOTAL(3, $C$3:C101))</f>
        <v>99</v>
      </c>
      <c r="C101" s="32" t="s">
        <v>68</v>
      </c>
      <c r="D101" s="17" t="s">
        <v>4</v>
      </c>
      <c r="E101" s="18">
        <v>200</v>
      </c>
      <c r="F101" s="18">
        <v>1</v>
      </c>
      <c r="G101" s="45">
        <f>IF(ISBLANK(Sacak[[#This Row],[ÖLÇÜSÜ]]),"",VLOOKUP(Sacak[[#This Row],[ÖLÇÜSÜ]],Fiyat[[Ölçü]:[Birim Fiyatı]],2,0))</f>
        <v>365</v>
      </c>
      <c r="H101" s="45">
        <f>IF(ISBLANK(Sacak[[#This Row],[ÖLÇÜSÜ]]),"",F101*G101)</f>
        <v>365</v>
      </c>
      <c r="I101" s="46">
        <f>IF(ISBLANK(Sacak[[#This Row],[ÖLÇÜSÜ]]),"",SUMIF(Sacak[Adı Soyadı],Sacak[[#This Row],[Adı Soyadı]],Sacak[TUTAR]))</f>
        <v>2445</v>
      </c>
    </row>
    <row r="102" spans="2:9" ht="16.5" thickTop="1" thickBot="1" x14ac:dyDescent="0.3">
      <c r="B102" s="16">
        <f>IF(ISBLANK(C102),"",SUBTOTAL(3, $C$3:C102))</f>
        <v>100</v>
      </c>
      <c r="C102" s="32" t="s">
        <v>68</v>
      </c>
      <c r="D102" s="17" t="s">
        <v>4</v>
      </c>
      <c r="E102" s="18">
        <v>170</v>
      </c>
      <c r="F102" s="18">
        <v>1</v>
      </c>
      <c r="G102" s="45">
        <f>IF(ISBLANK(Sacak[[#This Row],[ÖLÇÜSÜ]]),"",VLOOKUP(Sacak[[#This Row],[ÖLÇÜSÜ]],Fiyat[[Ölçü]:[Birim Fiyatı]],2,0))</f>
        <v>320</v>
      </c>
      <c r="H102" s="45">
        <f>IF(ISBLANK(Sacak[[#This Row],[ÖLÇÜSÜ]]),"",F102*G102)</f>
        <v>320</v>
      </c>
      <c r="I102" s="46">
        <f>IF(ISBLANK(Sacak[[#This Row],[ÖLÇÜSÜ]]),"",SUMIF(Sacak[Adı Soyadı],Sacak[[#This Row],[Adı Soyadı]],Sacak[TUTAR]))</f>
        <v>2445</v>
      </c>
    </row>
    <row r="103" spans="2:9" ht="16.5" thickTop="1" thickBot="1" x14ac:dyDescent="0.3">
      <c r="B103" s="16">
        <f>IF(ISBLANK(C103),"",SUBTOTAL(3, $C$3:C103))</f>
        <v>101</v>
      </c>
      <c r="C103" s="32" t="s">
        <v>68</v>
      </c>
      <c r="D103" s="17" t="s">
        <v>4</v>
      </c>
      <c r="E103" s="18">
        <v>130</v>
      </c>
      <c r="F103" s="18">
        <v>4</v>
      </c>
      <c r="G103" s="45">
        <f>IF(ISBLANK(Sacak[[#This Row],[ÖLÇÜSÜ]]),"",VLOOKUP(Sacak[[#This Row],[ÖLÇÜSÜ]],Fiyat[[Ölçü]:[Birim Fiyatı]],2,0))</f>
        <v>245</v>
      </c>
      <c r="H103" s="45">
        <f>IF(ISBLANK(Sacak[[#This Row],[ÖLÇÜSÜ]]),"",F103*G103)</f>
        <v>980</v>
      </c>
      <c r="I103" s="46">
        <f>IF(ISBLANK(Sacak[[#This Row],[ÖLÇÜSÜ]]),"",SUMIF(Sacak[Adı Soyadı],Sacak[[#This Row],[Adı Soyadı]],Sacak[TUTAR]))</f>
        <v>2445</v>
      </c>
    </row>
    <row r="104" spans="2:9" ht="16.5" thickTop="1" thickBot="1" x14ac:dyDescent="0.3">
      <c r="B104" s="16">
        <f>IF(ISBLANK(C104),"",SUBTOTAL(3, $C$3:C104))</f>
        <v>102</v>
      </c>
      <c r="C104" s="32" t="s">
        <v>68</v>
      </c>
      <c r="D104" s="17" t="s">
        <v>7</v>
      </c>
      <c r="E104" s="18">
        <v>200</v>
      </c>
      <c r="F104" s="18">
        <v>1</v>
      </c>
      <c r="G104" s="45">
        <f>IF(ISBLANK(Sacak[[#This Row],[ÖLÇÜSÜ]]),"",VLOOKUP(Sacak[[#This Row],[ÖLÇÜSÜ]],Fiyat[[Ölçü]:[Birim Fiyatı]],2,0))</f>
        <v>365</v>
      </c>
      <c r="H104" s="45">
        <f>IF(ISBLANK(Sacak[[#This Row],[ÖLÇÜSÜ]]),"",F104*G104)</f>
        <v>365</v>
      </c>
      <c r="I104" s="46">
        <f>IF(ISBLANK(Sacak[[#This Row],[ÖLÇÜSÜ]]),"",SUMIF(Sacak[Adı Soyadı],Sacak[[#This Row],[Adı Soyadı]],Sacak[TUTAR]))</f>
        <v>2445</v>
      </c>
    </row>
    <row r="105" spans="2:9" ht="16.5" thickTop="1" thickBot="1" x14ac:dyDescent="0.3">
      <c r="B105" s="16">
        <f>IF(ISBLANK(C105),"",SUBTOTAL(3, $C$3:C105))</f>
        <v>103</v>
      </c>
      <c r="C105" s="32" t="s">
        <v>68</v>
      </c>
      <c r="D105" s="17" t="s">
        <v>7</v>
      </c>
      <c r="E105" s="18">
        <v>130</v>
      </c>
      <c r="F105" s="18">
        <v>1</v>
      </c>
      <c r="G105" s="45">
        <f>IF(ISBLANK(Sacak[[#This Row],[ÖLÇÜSÜ]]),"",VLOOKUP(Sacak[[#This Row],[ÖLÇÜSÜ]],Fiyat[[Ölçü]:[Birim Fiyatı]],2,0))</f>
        <v>245</v>
      </c>
      <c r="H105" s="45">
        <f>IF(ISBLANK(Sacak[[#This Row],[ÖLÇÜSÜ]]),"",F105*G105)</f>
        <v>245</v>
      </c>
      <c r="I105" s="46">
        <f>IF(ISBLANK(Sacak[[#This Row],[ÖLÇÜSÜ]]),"",SUMIF(Sacak[Adı Soyadı],Sacak[[#This Row],[Adı Soyadı]],Sacak[TUTAR]))</f>
        <v>2445</v>
      </c>
    </row>
    <row r="106" spans="2:9" ht="16.5" thickTop="1" thickBot="1" x14ac:dyDescent="0.3">
      <c r="B106" s="16">
        <f>IF(ISBLANK(C106),"",SUBTOTAL(3, $C$3:C106))</f>
        <v>104</v>
      </c>
      <c r="C106" s="32" t="s">
        <v>68</v>
      </c>
      <c r="D106" s="17" t="s">
        <v>7</v>
      </c>
      <c r="E106" s="18">
        <v>90</v>
      </c>
      <c r="F106" s="18">
        <v>1</v>
      </c>
      <c r="G106" s="45">
        <f>IF(ISBLANK(Sacak[[#This Row],[ÖLÇÜSÜ]]),"",VLOOKUP(Sacak[[#This Row],[ÖLÇÜSÜ]],Fiyat[[Ölçü]:[Birim Fiyatı]],2,0))</f>
        <v>170</v>
      </c>
      <c r="H106" s="45">
        <f>IF(ISBLANK(Sacak[[#This Row],[ÖLÇÜSÜ]]),"",F106*G106)</f>
        <v>170</v>
      </c>
      <c r="I106" s="46">
        <f>IF(ISBLANK(Sacak[[#This Row],[ÖLÇÜSÜ]]),"",SUMIF(Sacak[Adı Soyadı],Sacak[[#This Row],[Adı Soyadı]],Sacak[TUTAR]))</f>
        <v>2445</v>
      </c>
    </row>
    <row r="107" spans="2:9" ht="16.5" thickTop="1" thickBot="1" x14ac:dyDescent="0.3">
      <c r="B107" s="16">
        <f>IF(ISBLANK(C107),"",SUBTOTAL(3, $C$3:C107))</f>
        <v>105</v>
      </c>
      <c r="C107" s="32" t="s">
        <v>14</v>
      </c>
      <c r="D107" s="17" t="s">
        <v>7</v>
      </c>
      <c r="E107" s="18">
        <v>160</v>
      </c>
      <c r="F107" s="18">
        <v>2</v>
      </c>
      <c r="G107" s="45">
        <f>IF(ISBLANK(Sacak[[#This Row],[ÖLÇÜSÜ]]),"",VLOOKUP(Sacak[[#This Row],[ÖLÇÜSÜ]],Fiyat[[Ölçü]:[Birim Fiyatı]],2,0))</f>
        <v>300</v>
      </c>
      <c r="H107" s="45">
        <f>IF(ISBLANK(Sacak[[#This Row],[ÖLÇÜSÜ]]),"",F107*G107)</f>
        <v>600</v>
      </c>
      <c r="I107" s="46">
        <f>IF(ISBLANK(Sacak[[#This Row],[ÖLÇÜSÜ]]),"",SUMIF(Sacak[Adı Soyadı],Sacak[[#This Row],[Adı Soyadı]],Sacak[TUTAR]))</f>
        <v>2240</v>
      </c>
    </row>
    <row r="108" spans="2:9" ht="16.5" thickTop="1" thickBot="1" x14ac:dyDescent="0.3">
      <c r="B108" s="16">
        <f>IF(ISBLANK(C108),"",SUBTOTAL(3, $C$3:C108))</f>
        <v>106</v>
      </c>
      <c r="C108" s="32" t="s">
        <v>14</v>
      </c>
      <c r="D108" s="17" t="s">
        <v>7</v>
      </c>
      <c r="E108" s="18">
        <v>130</v>
      </c>
      <c r="F108" s="18">
        <v>6</v>
      </c>
      <c r="G108" s="45">
        <f>IF(ISBLANK(Sacak[[#This Row],[ÖLÇÜSÜ]]),"",VLOOKUP(Sacak[[#This Row],[ÖLÇÜSÜ]],Fiyat[[Ölçü]:[Birim Fiyatı]],2,0))</f>
        <v>245</v>
      </c>
      <c r="H108" s="45">
        <f>IF(ISBLANK(Sacak[[#This Row],[ÖLÇÜSÜ]]),"",F108*G108)</f>
        <v>1470</v>
      </c>
      <c r="I108" s="46">
        <f>IF(ISBLANK(Sacak[[#This Row],[ÖLÇÜSÜ]]),"",SUMIF(Sacak[Adı Soyadı],Sacak[[#This Row],[Adı Soyadı]],Sacak[TUTAR]))</f>
        <v>2240</v>
      </c>
    </row>
    <row r="109" spans="2:9" ht="16.5" thickTop="1" thickBot="1" x14ac:dyDescent="0.3">
      <c r="B109" s="16">
        <f>IF(ISBLANK(C109),"",SUBTOTAL(3, $C$3:C109))</f>
        <v>107</v>
      </c>
      <c r="C109" s="32" t="s">
        <v>14</v>
      </c>
      <c r="D109" s="17" t="s">
        <v>7</v>
      </c>
      <c r="E109" s="18">
        <v>90</v>
      </c>
      <c r="F109" s="18">
        <v>1</v>
      </c>
      <c r="G109" s="45">
        <f>IF(ISBLANK(Sacak[[#This Row],[ÖLÇÜSÜ]]),"",VLOOKUP(Sacak[[#This Row],[ÖLÇÜSÜ]],Fiyat[[Ölçü]:[Birim Fiyatı]],2,0))</f>
        <v>170</v>
      </c>
      <c r="H109" s="45">
        <f>IF(ISBLANK(Sacak[[#This Row],[ÖLÇÜSÜ]]),"",F109*G109)</f>
        <v>170</v>
      </c>
      <c r="I109" s="46">
        <f>IF(ISBLANK(Sacak[[#This Row],[ÖLÇÜSÜ]]),"",SUMIF(Sacak[Adı Soyadı],Sacak[[#This Row],[Adı Soyadı]],Sacak[TUTAR]))</f>
        <v>2240</v>
      </c>
    </row>
    <row r="110" spans="2:9" ht="16.5" thickTop="1" thickBot="1" x14ac:dyDescent="0.3">
      <c r="B110" s="16" t="str">
        <f>IF(ISBLANK(C110),"",SUBTOTAL(3, $C$3:C110))</f>
        <v/>
      </c>
      <c r="C110" s="32"/>
      <c r="D110" s="17"/>
      <c r="E110" s="18"/>
      <c r="F110" s="18"/>
      <c r="G110" s="45" t="str">
        <f>IF(ISBLANK(Sacak[[#This Row],[ÖLÇÜSÜ]]),"",VLOOKUP(Sacak[[#This Row],[ÖLÇÜSÜ]],Fiyat[[Ölçü]:[Birim Fiyatı]],2,0))</f>
        <v/>
      </c>
      <c r="H110" s="45" t="str">
        <f>IF(ISBLANK(Sacak[[#This Row],[ÖLÇÜSÜ]]),"",F110*G110)</f>
        <v/>
      </c>
      <c r="I110" s="46" t="str">
        <f>IF(ISBLANK(Sacak[[#This Row],[ÖLÇÜSÜ]]),"",SUMIF(Sacak[Adı Soyadı],Sacak[[#This Row],[Adı Soyadı]],Sacak[TUTAR]))</f>
        <v/>
      </c>
    </row>
    <row r="111" spans="2:9" ht="16.5" thickTop="1" thickBot="1" x14ac:dyDescent="0.3">
      <c r="B111" s="16" t="str">
        <f>IF(ISBLANK(C111),"",SUBTOTAL(3, $C$3:C111))</f>
        <v/>
      </c>
      <c r="C111" s="32"/>
      <c r="D111" s="17"/>
      <c r="E111" s="18"/>
      <c r="F111" s="18"/>
      <c r="G111" s="45" t="str">
        <f>IF(ISBLANK(Sacak[[#This Row],[ÖLÇÜSÜ]]),"",VLOOKUP(Sacak[[#This Row],[ÖLÇÜSÜ]],Fiyat[[Ölçü]:[Birim Fiyatı]],2,0))</f>
        <v/>
      </c>
      <c r="H111" s="45" t="str">
        <f>IF(ISBLANK(Sacak[[#This Row],[ÖLÇÜSÜ]]),"",F111*G111)</f>
        <v/>
      </c>
      <c r="I111" s="46" t="str">
        <f>IF(ISBLANK(Sacak[[#This Row],[ÖLÇÜSÜ]]),"",SUMIF(Sacak[Adı Soyadı],Sacak[[#This Row],[Adı Soyadı]],Sacak[TUTAR]))</f>
        <v/>
      </c>
    </row>
    <row r="112" spans="2:9" ht="16.5" thickTop="1" thickBot="1" x14ac:dyDescent="0.3">
      <c r="B112" s="16" t="s">
        <v>41</v>
      </c>
      <c r="C112" s="17"/>
      <c r="D112" s="17"/>
      <c r="E112" s="18"/>
      <c r="F112" s="18">
        <f>SUBTOTAL(109,Sacak[ADET])</f>
        <v>327</v>
      </c>
      <c r="G112" s="45"/>
      <c r="H112" s="45">
        <f>SUBTOTAL(109,Sacak[TUTAR])</f>
        <v>106050</v>
      </c>
      <c r="I112" s="51"/>
    </row>
    <row r="113" ht="15.75" thickTop="1" x14ac:dyDescent="0.25"/>
  </sheetData>
  <conditionalFormatting sqref="C3:C111">
    <cfRule type="colorScale" priority="12">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BD53E249-EEAD-4B90-8644-7A1B7B07C7D2}">
          <x14:formula1>
            <xm:f>Listeler!$C$3:$C$60</xm:f>
          </x14:formula1>
          <xm:sqref>C3:C111</xm:sqref>
        </x14:dataValidation>
        <x14:dataValidation type="list" allowBlank="1" showInputMessage="1" showErrorMessage="1" xr:uid="{AA9037C5-2807-4B82-B853-661097E90019}">
          <x14:formula1>
            <xm:f>Listeler!$F$3:$F$15</xm:f>
          </x14:formula1>
          <xm:sqref>D3:D111</xm:sqref>
        </x14:dataValidation>
        <x14:dataValidation type="list" allowBlank="1" showInputMessage="1" showErrorMessage="1" xr:uid="{7DCD49EC-2731-4A87-ABF5-B991844D17ED}">
          <x14:formula1>
            <xm:f>Listeler!$I$3:$I$40</xm:f>
          </x14:formula1>
          <xm:sqref>E3:E111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5EAB6-C7A1-46F3-8BAB-8A3973D75F7B}">
  <sheetPr codeName="Sayfa3">
    <tabColor theme="9" tint="-0.499984740745262"/>
  </sheetPr>
  <dimension ref="B1:J118"/>
  <sheetViews>
    <sheetView zoomScaleNormal="100" workbookViewId="0">
      <pane ySplit="2" topLeftCell="A3" activePane="bottomLeft" state="frozen"/>
      <selection activeCell="F31" sqref="F31"/>
      <selection pane="bottomLeft" activeCell="C3" sqref="C3:F116"/>
    </sheetView>
  </sheetViews>
  <sheetFormatPr defaultRowHeight="15" x14ac:dyDescent="0.25"/>
  <cols>
    <col min="1" max="1" width="2.7109375" customWidth="1"/>
    <col min="2" max="2" width="6" style="3" bestFit="1" customWidth="1"/>
    <col min="3" max="3" width="21.5703125" style="52" customWidth="1"/>
    <col min="4" max="4" width="10.28515625" style="52" bestFit="1" customWidth="1"/>
    <col min="5" max="5" width="7.5703125" style="52" bestFit="1" customWidth="1"/>
    <col min="6" max="6" width="8" style="52" bestFit="1" customWidth="1"/>
    <col min="7" max="7" width="8" style="3" customWidth="1"/>
    <col min="8" max="9" width="12" style="3" customWidth="1"/>
    <col min="10" max="10" width="12" customWidth="1"/>
    <col min="11" max="11" width="7.28515625" customWidth="1"/>
  </cols>
  <sheetData>
    <row r="1" spans="2:10" ht="69" customHeight="1" thickBot="1" x14ac:dyDescent="0.3"/>
    <row r="2" spans="2:10" ht="25.9" customHeight="1" thickTop="1" thickBot="1" x14ac:dyDescent="0.3">
      <c r="B2" s="19" t="s">
        <v>19</v>
      </c>
      <c r="C2" s="54" t="s">
        <v>18</v>
      </c>
      <c r="D2" s="54" t="s">
        <v>52</v>
      </c>
      <c r="E2" s="54" t="s">
        <v>0</v>
      </c>
      <c r="F2" s="55" t="s">
        <v>1</v>
      </c>
      <c r="G2" s="21" t="s">
        <v>51</v>
      </c>
      <c r="H2" s="20" t="s">
        <v>2</v>
      </c>
      <c r="I2" s="20" t="s">
        <v>3</v>
      </c>
      <c r="J2" s="15" t="s">
        <v>44</v>
      </c>
    </row>
    <row r="3" spans="2:10" ht="16.5" thickTop="1" thickBot="1" x14ac:dyDescent="0.3">
      <c r="B3" s="22" t="str">
        <f>IF(ISBLANK(C3),"",SUBTOTAL(3, $C$3:C3))</f>
        <v/>
      </c>
      <c r="C3" s="36"/>
      <c r="D3" s="23"/>
      <c r="E3" s="24"/>
      <c r="F3" s="24"/>
      <c r="G3" s="27" t="str">
        <f>IF(ISBLANK(Etiket[[#This Row],[ÖLÇÜSÜ]]),"",Etiket[[#This Row],[ADET]]*Etiket[[#This Row],[ÖLÇÜSÜ]]*2/100)</f>
        <v/>
      </c>
      <c r="H3" s="25">
        <v>48</v>
      </c>
      <c r="I3" s="25" t="str">
        <f>IF(ISBLANK(Etiket[[#This Row],[ÖLÇÜSÜ]]),"",G3*H3)</f>
        <v/>
      </c>
      <c r="J3" s="26" t="str">
        <f>IF(ISBLANK(Etiket[[#This Row],[ÖLÇÜSÜ]]),"",SUMIF(Etiket[Adı Soyadı],Etiket[[#This Row],[Adı Soyadı]],Etiket[TUTAR]))</f>
        <v/>
      </c>
    </row>
    <row r="4" spans="2:10" ht="16.5" thickTop="1" thickBot="1" x14ac:dyDescent="0.3">
      <c r="B4" s="22" t="str">
        <f>IF(ISBLANK(C4),"",SUBTOTAL(3, $C$3:C4))</f>
        <v/>
      </c>
      <c r="C4" s="36"/>
      <c r="D4" s="23"/>
      <c r="E4" s="24"/>
      <c r="F4" s="24"/>
      <c r="G4" s="27" t="str">
        <f>IF(ISBLANK(Etiket[[#This Row],[ÖLÇÜSÜ]]),"",Etiket[[#This Row],[ADET]]*Etiket[[#This Row],[ÖLÇÜSÜ]]*2/100)</f>
        <v/>
      </c>
      <c r="H4" s="25">
        <v>48</v>
      </c>
      <c r="I4" s="25" t="str">
        <f>IF(ISBLANK(Etiket[[#This Row],[ÖLÇÜSÜ]]),"",G4*H4)</f>
        <v/>
      </c>
      <c r="J4" s="26" t="str">
        <f>IF(ISBLANK(Etiket[[#This Row],[ÖLÇÜSÜ]]),"",SUMIF(Etiket[Adı Soyadı],Etiket[[#This Row],[Adı Soyadı]],Etiket[TUTAR]))</f>
        <v/>
      </c>
    </row>
    <row r="5" spans="2:10" ht="16.5" thickTop="1" thickBot="1" x14ac:dyDescent="0.3">
      <c r="B5" s="22" t="str">
        <f>IF(ISBLANK(C5),"",SUBTOTAL(3, $C$3:C5))</f>
        <v/>
      </c>
      <c r="C5" s="36"/>
      <c r="D5" s="23"/>
      <c r="E5" s="24"/>
      <c r="F5" s="24"/>
      <c r="G5" s="27" t="str">
        <f>IF(ISBLANK(Etiket[[#This Row],[ÖLÇÜSÜ]]),"",Etiket[[#This Row],[ADET]]*Etiket[[#This Row],[ÖLÇÜSÜ]]*2/100)</f>
        <v/>
      </c>
      <c r="H5" s="25">
        <v>48</v>
      </c>
      <c r="I5" s="25" t="str">
        <f>IF(ISBLANK(Etiket[[#This Row],[ÖLÇÜSÜ]]),"",G5*H5)</f>
        <v/>
      </c>
      <c r="J5" s="26" t="str">
        <f>IF(ISBLANK(Etiket[[#This Row],[ÖLÇÜSÜ]]),"",SUMIF(Etiket[Adı Soyadı],Etiket[[#This Row],[Adı Soyadı]],Etiket[TUTAR]))</f>
        <v/>
      </c>
    </row>
    <row r="6" spans="2:10" ht="16.5" thickTop="1" thickBot="1" x14ac:dyDescent="0.3">
      <c r="B6" s="22" t="str">
        <f>IF(ISBLANK(C6),"",SUBTOTAL(3, $C$3:C6))</f>
        <v/>
      </c>
      <c r="C6" s="36"/>
      <c r="D6" s="23"/>
      <c r="E6" s="24"/>
      <c r="F6" s="24"/>
      <c r="G6" s="27" t="str">
        <f>IF(ISBLANK(Etiket[[#This Row],[ÖLÇÜSÜ]]),"",Etiket[[#This Row],[ADET]]*Etiket[[#This Row],[ÖLÇÜSÜ]]*2/100)</f>
        <v/>
      </c>
      <c r="H6" s="25">
        <v>48</v>
      </c>
      <c r="I6" s="25" t="str">
        <f>IF(ISBLANK(Etiket[[#This Row],[ÖLÇÜSÜ]]),"",G6*H6)</f>
        <v/>
      </c>
      <c r="J6" s="26" t="str">
        <f>IF(ISBLANK(Etiket[[#This Row],[ÖLÇÜSÜ]]),"",SUMIF(Etiket[Adı Soyadı],Etiket[[#This Row],[Adı Soyadı]],Etiket[TUTAR]))</f>
        <v/>
      </c>
    </row>
    <row r="7" spans="2:10" ht="16.5" thickTop="1" thickBot="1" x14ac:dyDescent="0.3">
      <c r="B7" s="22" t="str">
        <f>IF(ISBLANK(C7),"",SUBTOTAL(3, $C$3:C7))</f>
        <v/>
      </c>
      <c r="C7" s="36"/>
      <c r="D7" s="23"/>
      <c r="E7" s="24"/>
      <c r="F7" s="24"/>
      <c r="G7" s="27" t="str">
        <f>IF(ISBLANK(Etiket[[#This Row],[ÖLÇÜSÜ]]),"",Etiket[[#This Row],[ADET]]*Etiket[[#This Row],[ÖLÇÜSÜ]]*2/100)</f>
        <v/>
      </c>
      <c r="H7" s="25">
        <v>48</v>
      </c>
      <c r="I7" s="25" t="str">
        <f>IF(ISBLANK(Etiket[[#This Row],[ÖLÇÜSÜ]]),"",G7*H7)</f>
        <v/>
      </c>
      <c r="J7" s="26" t="str">
        <f>IF(ISBLANK(Etiket[[#This Row],[ÖLÇÜSÜ]]),"",SUMIF(Etiket[Adı Soyadı],Etiket[[#This Row],[Adı Soyadı]],Etiket[TUTAR]))</f>
        <v/>
      </c>
    </row>
    <row r="8" spans="2:10" ht="16.5" thickTop="1" thickBot="1" x14ac:dyDescent="0.3">
      <c r="B8" s="22" t="str">
        <f>IF(ISBLANK(C8),"",SUBTOTAL(3, $C$3:C8))</f>
        <v/>
      </c>
      <c r="C8" s="36"/>
      <c r="D8" s="23"/>
      <c r="E8" s="24"/>
      <c r="F8" s="24"/>
      <c r="G8" s="27" t="str">
        <f>IF(ISBLANK(Etiket[[#This Row],[ÖLÇÜSÜ]]),"",Etiket[[#This Row],[ADET]]*Etiket[[#This Row],[ÖLÇÜSÜ]]*2/100)</f>
        <v/>
      </c>
      <c r="H8" s="25">
        <v>48</v>
      </c>
      <c r="I8" s="25" t="str">
        <f>IF(ISBLANK(Etiket[[#This Row],[ÖLÇÜSÜ]]),"",G8*H8)</f>
        <v/>
      </c>
      <c r="J8" s="26" t="str">
        <f>IF(ISBLANK(Etiket[[#This Row],[ÖLÇÜSÜ]]),"",SUMIF(Etiket[Adı Soyadı],Etiket[[#This Row],[Adı Soyadı]],Etiket[TUTAR]))</f>
        <v/>
      </c>
    </row>
    <row r="9" spans="2:10" ht="16.5" thickTop="1" thickBot="1" x14ac:dyDescent="0.3">
      <c r="B9" s="22" t="str">
        <f>IF(ISBLANK(C9),"",SUBTOTAL(3, $C$3:C9))</f>
        <v/>
      </c>
      <c r="C9" s="36"/>
      <c r="D9" s="23"/>
      <c r="E9" s="24"/>
      <c r="F9" s="24"/>
      <c r="G9" s="27" t="str">
        <f>IF(ISBLANK(Etiket[[#This Row],[ÖLÇÜSÜ]]),"",Etiket[[#This Row],[ADET]]*Etiket[[#This Row],[ÖLÇÜSÜ]]*2/100)</f>
        <v/>
      </c>
      <c r="H9" s="25">
        <v>48</v>
      </c>
      <c r="I9" s="25" t="str">
        <f>IF(ISBLANK(Etiket[[#This Row],[ÖLÇÜSÜ]]),"",G9*H9)</f>
        <v/>
      </c>
      <c r="J9" s="26" t="str">
        <f>IF(ISBLANK(Etiket[[#This Row],[ÖLÇÜSÜ]]),"",SUMIF(Etiket[Adı Soyadı],Etiket[[#This Row],[Adı Soyadı]],Etiket[TUTAR]))</f>
        <v/>
      </c>
    </row>
    <row r="10" spans="2:10" ht="16.5" thickTop="1" thickBot="1" x14ac:dyDescent="0.3">
      <c r="B10" s="22" t="str">
        <f>IF(ISBLANK(C10),"",SUBTOTAL(3, $C$3:C10))</f>
        <v/>
      </c>
      <c r="C10" s="36"/>
      <c r="D10" s="23"/>
      <c r="E10" s="24"/>
      <c r="F10" s="24"/>
      <c r="G10" s="27" t="str">
        <f>IF(ISBLANK(Etiket[[#This Row],[ÖLÇÜSÜ]]),"",Etiket[[#This Row],[ADET]]*Etiket[[#This Row],[ÖLÇÜSÜ]]*2/100)</f>
        <v/>
      </c>
      <c r="H10" s="25">
        <v>48</v>
      </c>
      <c r="I10" s="25" t="str">
        <f>IF(ISBLANK(Etiket[[#This Row],[ÖLÇÜSÜ]]),"",G10*H10)</f>
        <v/>
      </c>
      <c r="J10" s="26" t="str">
        <f>IF(ISBLANK(Etiket[[#This Row],[ÖLÇÜSÜ]]),"",SUMIF(Etiket[Adı Soyadı],Etiket[[#This Row],[Adı Soyadı]],Etiket[TUTAR]))</f>
        <v/>
      </c>
    </row>
    <row r="11" spans="2:10" ht="16.5" thickTop="1" thickBot="1" x14ac:dyDescent="0.3">
      <c r="B11" s="22" t="str">
        <f>IF(ISBLANK(C11),"",SUBTOTAL(3, $C$3:C11))</f>
        <v/>
      </c>
      <c r="C11" s="36"/>
      <c r="D11" s="23"/>
      <c r="E11" s="24"/>
      <c r="F11" s="24"/>
      <c r="G11" s="27" t="str">
        <f>IF(ISBLANK(Etiket[[#This Row],[ÖLÇÜSÜ]]),"",Etiket[[#This Row],[ADET]]*Etiket[[#This Row],[ÖLÇÜSÜ]]*2/100)</f>
        <v/>
      </c>
      <c r="H11" s="25">
        <v>48</v>
      </c>
      <c r="I11" s="25" t="str">
        <f>IF(ISBLANK(Etiket[[#This Row],[ÖLÇÜSÜ]]),"",G11*H11)</f>
        <v/>
      </c>
      <c r="J11" s="26" t="str">
        <f>IF(ISBLANK(Etiket[[#This Row],[ÖLÇÜSÜ]]),"",SUMIF(Etiket[Adı Soyadı],Etiket[[#This Row],[Adı Soyadı]],Etiket[TUTAR]))</f>
        <v/>
      </c>
    </row>
    <row r="12" spans="2:10" ht="16.5" thickTop="1" thickBot="1" x14ac:dyDescent="0.3">
      <c r="B12" s="22" t="str">
        <f>IF(ISBLANK(C12),"",SUBTOTAL(3, $C$3:C12))</f>
        <v/>
      </c>
      <c r="C12" s="36"/>
      <c r="D12" s="23"/>
      <c r="E12" s="24"/>
      <c r="F12" s="24"/>
      <c r="G12" s="27" t="str">
        <f>IF(ISBLANK(Etiket[[#This Row],[ÖLÇÜSÜ]]),"",Etiket[[#This Row],[ADET]]*Etiket[[#This Row],[ÖLÇÜSÜ]]*2/100)</f>
        <v/>
      </c>
      <c r="H12" s="25">
        <v>48</v>
      </c>
      <c r="I12" s="25" t="str">
        <f>IF(ISBLANK(Etiket[[#This Row],[ÖLÇÜSÜ]]),"",G12*H12)</f>
        <v/>
      </c>
      <c r="J12" s="26" t="str">
        <f>IF(ISBLANK(Etiket[[#This Row],[ÖLÇÜSÜ]]),"",SUMIF(Etiket[Adı Soyadı],Etiket[[#This Row],[Adı Soyadı]],Etiket[TUTAR]))</f>
        <v/>
      </c>
    </row>
    <row r="13" spans="2:10" ht="16.5" thickTop="1" thickBot="1" x14ac:dyDescent="0.3">
      <c r="B13" s="22" t="str">
        <f>IF(ISBLANK(C13),"",SUBTOTAL(3, $C$3:C13))</f>
        <v/>
      </c>
      <c r="C13" s="36"/>
      <c r="D13" s="23"/>
      <c r="E13" s="24"/>
      <c r="F13" s="24"/>
      <c r="G13" s="27" t="str">
        <f>IF(ISBLANK(Etiket[[#This Row],[ÖLÇÜSÜ]]),"",Etiket[[#This Row],[ADET]]*Etiket[[#This Row],[ÖLÇÜSÜ]]*2/100)</f>
        <v/>
      </c>
      <c r="H13" s="25" t="str">
        <f>IF(ISBLANK(Etiket[[#This Row],[ÖLÇÜSÜ]]),"",45)</f>
        <v/>
      </c>
      <c r="I13" s="25" t="str">
        <f>IF(ISBLANK(Etiket[[#This Row],[ÖLÇÜSÜ]]),"",G13*H13)</f>
        <v/>
      </c>
      <c r="J13" s="26" t="str">
        <f>IF(ISBLANK(Etiket[[#This Row],[ÖLÇÜSÜ]]),"",SUMIF(Etiket[Adı Soyadı],Etiket[[#This Row],[Adı Soyadı]],Etiket[TUTAR]))</f>
        <v/>
      </c>
    </row>
    <row r="14" spans="2:10" ht="16.5" thickTop="1" thickBot="1" x14ac:dyDescent="0.3">
      <c r="B14" s="22" t="str">
        <f>IF(ISBLANK(C14),"",SUBTOTAL(3, $C$3:C14))</f>
        <v/>
      </c>
      <c r="C14" s="36"/>
      <c r="D14" s="23"/>
      <c r="E14" s="24"/>
      <c r="F14" s="24"/>
      <c r="G14" s="27" t="str">
        <f>IF(ISBLANK(Etiket[[#This Row],[ÖLÇÜSÜ]]),"",Etiket[[#This Row],[ADET]]*Etiket[[#This Row],[ÖLÇÜSÜ]]*2/100)</f>
        <v/>
      </c>
      <c r="H14" s="25" t="str">
        <f>IF(ISBLANK(Etiket[[#This Row],[ÖLÇÜSÜ]]),"",45)</f>
        <v/>
      </c>
      <c r="I14" s="25" t="str">
        <f>IF(ISBLANK(Etiket[[#This Row],[ÖLÇÜSÜ]]),"",G14*H14)</f>
        <v/>
      </c>
      <c r="J14" s="26" t="str">
        <f>IF(ISBLANK(Etiket[[#This Row],[ÖLÇÜSÜ]]),"",SUMIF(Etiket[Adı Soyadı],Etiket[[#This Row],[Adı Soyadı]],Etiket[TUTAR]))</f>
        <v/>
      </c>
    </row>
    <row r="15" spans="2:10" ht="16.5" thickTop="1" thickBot="1" x14ac:dyDescent="0.3">
      <c r="B15" s="22" t="str">
        <f>IF(ISBLANK(C15),"",SUBTOTAL(3, $C$3:C15))</f>
        <v/>
      </c>
      <c r="C15" s="36"/>
      <c r="D15" s="23"/>
      <c r="E15" s="24"/>
      <c r="F15" s="24"/>
      <c r="G15" s="27" t="str">
        <f>IF(ISBLANK(Etiket[[#This Row],[ÖLÇÜSÜ]]),"",Etiket[[#This Row],[ADET]]*Etiket[[#This Row],[ÖLÇÜSÜ]]*2/100)</f>
        <v/>
      </c>
      <c r="H15" s="25" t="str">
        <f>IF(ISBLANK(Etiket[[#This Row],[ÖLÇÜSÜ]]),"",45)</f>
        <v/>
      </c>
      <c r="I15" s="25" t="str">
        <f>IF(ISBLANK(Etiket[[#This Row],[ÖLÇÜSÜ]]),"",G15*H15)</f>
        <v/>
      </c>
      <c r="J15" s="26" t="str">
        <f>IF(ISBLANK(Etiket[[#This Row],[ÖLÇÜSÜ]]),"",SUMIF(Etiket[Adı Soyadı],Etiket[[#This Row],[Adı Soyadı]],Etiket[TUTAR]))</f>
        <v/>
      </c>
    </row>
    <row r="16" spans="2:10" ht="16.5" thickTop="1" thickBot="1" x14ac:dyDescent="0.3">
      <c r="B16" s="22" t="str">
        <f>IF(ISBLANK(C16),"",SUBTOTAL(3, $C$3:C16))</f>
        <v/>
      </c>
      <c r="C16" s="36"/>
      <c r="D16" s="23"/>
      <c r="E16" s="24"/>
      <c r="F16" s="24"/>
      <c r="G16" s="27" t="str">
        <f>IF(ISBLANK(Etiket[[#This Row],[ÖLÇÜSÜ]]),"",Etiket[[#This Row],[ADET]]*Etiket[[#This Row],[ÖLÇÜSÜ]]*2/100)</f>
        <v/>
      </c>
      <c r="H16" s="25" t="str">
        <f>IF(ISBLANK(Etiket[[#This Row],[ÖLÇÜSÜ]]),"",45)</f>
        <v/>
      </c>
      <c r="I16" s="25" t="str">
        <f>IF(ISBLANK(Etiket[[#This Row],[ÖLÇÜSÜ]]),"",G16*H16)</f>
        <v/>
      </c>
      <c r="J16" s="26" t="str">
        <f>IF(ISBLANK(Etiket[[#This Row],[ÖLÇÜSÜ]]),"",SUMIF(Etiket[Adı Soyadı],Etiket[[#This Row],[Adı Soyadı]],Etiket[TUTAR]))</f>
        <v/>
      </c>
    </row>
    <row r="17" spans="2:10" ht="16.5" thickTop="1" thickBot="1" x14ac:dyDescent="0.3">
      <c r="B17" s="22" t="str">
        <f>IF(ISBLANK(C17),"",SUBTOTAL(3, $C$3:C17))</f>
        <v/>
      </c>
      <c r="C17" s="36"/>
      <c r="D17" s="23"/>
      <c r="E17" s="24"/>
      <c r="F17" s="24"/>
      <c r="G17" s="27" t="str">
        <f>IF(ISBLANK(Etiket[[#This Row],[ÖLÇÜSÜ]]),"",Etiket[[#This Row],[ADET]]*Etiket[[#This Row],[ÖLÇÜSÜ]]*2/100)</f>
        <v/>
      </c>
      <c r="H17" s="25" t="str">
        <f>IF(ISBLANK(Etiket[[#This Row],[ÖLÇÜSÜ]]),"",45)</f>
        <v/>
      </c>
      <c r="I17" s="25" t="str">
        <f>IF(ISBLANK(Etiket[[#This Row],[ÖLÇÜSÜ]]),"",G17*H17)</f>
        <v/>
      </c>
      <c r="J17" s="26" t="str">
        <f>IF(ISBLANK(Etiket[[#This Row],[ÖLÇÜSÜ]]),"",SUMIF(Etiket[Adı Soyadı],Etiket[[#This Row],[Adı Soyadı]],Etiket[TUTAR]))</f>
        <v/>
      </c>
    </row>
    <row r="18" spans="2:10" ht="16.5" thickTop="1" thickBot="1" x14ac:dyDescent="0.3">
      <c r="B18" s="22" t="str">
        <f>IF(ISBLANK(C18),"",SUBTOTAL(3, $C$3:C18))</f>
        <v/>
      </c>
      <c r="C18" s="36"/>
      <c r="D18" s="23"/>
      <c r="E18" s="24"/>
      <c r="F18" s="24"/>
      <c r="G18" s="27" t="str">
        <f>IF(ISBLANK(Etiket[[#This Row],[ÖLÇÜSÜ]]),"",Etiket[[#This Row],[ADET]]*Etiket[[#This Row],[ÖLÇÜSÜ]]*2/100)</f>
        <v/>
      </c>
      <c r="H18" s="25" t="str">
        <f>IF(ISBLANK(Etiket[[#This Row],[ÖLÇÜSÜ]]),"",45)</f>
        <v/>
      </c>
      <c r="I18" s="25" t="str">
        <f>IF(ISBLANK(Etiket[[#This Row],[ÖLÇÜSÜ]]),"",G18*H18)</f>
        <v/>
      </c>
      <c r="J18" s="26" t="str">
        <f>IF(ISBLANK(Etiket[[#This Row],[ÖLÇÜSÜ]]),"",SUMIF(Etiket[Adı Soyadı],Etiket[[#This Row],[Adı Soyadı]],Etiket[TUTAR]))</f>
        <v/>
      </c>
    </row>
    <row r="19" spans="2:10" ht="16.5" thickTop="1" thickBot="1" x14ac:dyDescent="0.3">
      <c r="B19" s="22" t="str">
        <f>IF(ISBLANK(C19),"",SUBTOTAL(3, $C$3:C19))</f>
        <v/>
      </c>
      <c r="C19" s="36"/>
      <c r="D19" s="23"/>
      <c r="E19" s="24"/>
      <c r="F19" s="24"/>
      <c r="G19" s="27" t="str">
        <f>IF(ISBLANK(Etiket[[#This Row],[ÖLÇÜSÜ]]),"",Etiket[[#This Row],[ADET]]*Etiket[[#This Row],[ÖLÇÜSÜ]]*2/100)</f>
        <v/>
      </c>
      <c r="H19" s="25" t="str">
        <f>IF(ISBLANK(Etiket[[#This Row],[ÖLÇÜSÜ]]),"",45)</f>
        <v/>
      </c>
      <c r="I19" s="25" t="str">
        <f>IF(ISBLANK(Etiket[[#This Row],[ÖLÇÜSÜ]]),"",G19*H19)</f>
        <v/>
      </c>
      <c r="J19" s="26" t="str">
        <f>IF(ISBLANK(Etiket[[#This Row],[ÖLÇÜSÜ]]),"",SUMIF(Etiket[Adı Soyadı],Etiket[[#This Row],[Adı Soyadı]],Etiket[TUTAR]))</f>
        <v/>
      </c>
    </row>
    <row r="20" spans="2:10" ht="16.5" thickTop="1" thickBot="1" x14ac:dyDescent="0.3">
      <c r="B20" s="22" t="str">
        <f>IF(ISBLANK(C20),"",SUBTOTAL(3, $C$3:C20))</f>
        <v/>
      </c>
      <c r="C20" s="36"/>
      <c r="D20" s="23"/>
      <c r="E20" s="24"/>
      <c r="F20" s="24"/>
      <c r="G20" s="27" t="str">
        <f>IF(ISBLANK(Etiket[[#This Row],[ÖLÇÜSÜ]]),"",Etiket[[#This Row],[ADET]]*Etiket[[#This Row],[ÖLÇÜSÜ]]*2/100)</f>
        <v/>
      </c>
      <c r="H20" s="25" t="str">
        <f>IF(ISBLANK(Etiket[[#This Row],[ÖLÇÜSÜ]]),"",45)</f>
        <v/>
      </c>
      <c r="I20" s="25" t="str">
        <f>IF(ISBLANK(Etiket[[#This Row],[ÖLÇÜSÜ]]),"",G20*H20)</f>
        <v/>
      </c>
      <c r="J20" s="26" t="str">
        <f>IF(ISBLANK(Etiket[[#This Row],[ÖLÇÜSÜ]]),"",SUMIF(Etiket[Adı Soyadı],Etiket[[#This Row],[Adı Soyadı]],Etiket[TUTAR]))</f>
        <v/>
      </c>
    </row>
    <row r="21" spans="2:10" ht="16.5" thickTop="1" thickBot="1" x14ac:dyDescent="0.3">
      <c r="B21" s="22" t="str">
        <f>IF(ISBLANK(C21),"",SUBTOTAL(3, $C$3:C21))</f>
        <v/>
      </c>
      <c r="C21" s="36"/>
      <c r="D21" s="23"/>
      <c r="E21" s="24"/>
      <c r="F21" s="24"/>
      <c r="G21" s="27" t="str">
        <f>IF(ISBLANK(Etiket[[#This Row],[ÖLÇÜSÜ]]),"",Etiket[[#This Row],[ADET]]*Etiket[[#This Row],[ÖLÇÜSÜ]]*2/100)</f>
        <v/>
      </c>
      <c r="H21" s="25" t="str">
        <f>IF(ISBLANK(Etiket[[#This Row],[ÖLÇÜSÜ]]),"",45)</f>
        <v/>
      </c>
      <c r="I21" s="25" t="str">
        <f>IF(ISBLANK(Etiket[[#This Row],[ÖLÇÜSÜ]]),"",G21*H21)</f>
        <v/>
      </c>
      <c r="J21" s="26" t="str">
        <f>IF(ISBLANK(Etiket[[#This Row],[ÖLÇÜSÜ]]),"",SUMIF(Etiket[Adı Soyadı],Etiket[[#This Row],[Adı Soyadı]],Etiket[TUTAR]))</f>
        <v/>
      </c>
    </row>
    <row r="22" spans="2:10" ht="16.5" thickTop="1" thickBot="1" x14ac:dyDescent="0.3">
      <c r="B22" s="22" t="str">
        <f>IF(ISBLANK(C22),"",SUBTOTAL(3, $C$3:C22))</f>
        <v/>
      </c>
      <c r="C22" s="36"/>
      <c r="D22" s="23"/>
      <c r="E22" s="24"/>
      <c r="F22" s="24"/>
      <c r="G22" s="27" t="str">
        <f>IF(ISBLANK(Etiket[[#This Row],[ÖLÇÜSÜ]]),"",Etiket[[#This Row],[ADET]]*Etiket[[#This Row],[ÖLÇÜSÜ]]*2/100)</f>
        <v/>
      </c>
      <c r="H22" s="25" t="str">
        <f>IF(ISBLANK(Etiket[[#This Row],[ÖLÇÜSÜ]]),"",45)</f>
        <v/>
      </c>
      <c r="I22" s="25" t="str">
        <f>IF(ISBLANK(Etiket[[#This Row],[ÖLÇÜSÜ]]),"",G22*H22)</f>
        <v/>
      </c>
      <c r="J22" s="26" t="str">
        <f>IF(ISBLANK(Etiket[[#This Row],[ÖLÇÜSÜ]]),"",SUMIF(Etiket[Adı Soyadı],Etiket[[#This Row],[Adı Soyadı]],Etiket[TUTAR]))</f>
        <v/>
      </c>
    </row>
    <row r="23" spans="2:10" ht="16.5" thickTop="1" thickBot="1" x14ac:dyDescent="0.3">
      <c r="B23" s="22" t="str">
        <f>IF(ISBLANK(C23),"",SUBTOTAL(3, $C$3:C23))</f>
        <v/>
      </c>
      <c r="C23" s="36"/>
      <c r="D23" s="23"/>
      <c r="E23" s="24"/>
      <c r="F23" s="24"/>
      <c r="G23" s="27" t="str">
        <f>IF(ISBLANK(Etiket[[#This Row],[ÖLÇÜSÜ]]),"",Etiket[[#This Row],[ADET]]*Etiket[[#This Row],[ÖLÇÜSÜ]]*2/100)</f>
        <v/>
      </c>
      <c r="H23" s="25" t="str">
        <f>IF(ISBLANK(Etiket[[#This Row],[ÖLÇÜSÜ]]),"",45)</f>
        <v/>
      </c>
      <c r="I23" s="25" t="str">
        <f>IF(ISBLANK(Etiket[[#This Row],[ÖLÇÜSÜ]]),"",G23*H23)</f>
        <v/>
      </c>
      <c r="J23" s="26" t="str">
        <f>IF(ISBLANK(Etiket[[#This Row],[ÖLÇÜSÜ]]),"",SUMIF(Etiket[Adı Soyadı],Etiket[[#This Row],[Adı Soyadı]],Etiket[TUTAR]))</f>
        <v/>
      </c>
    </row>
    <row r="24" spans="2:10" ht="16.5" thickTop="1" thickBot="1" x14ac:dyDescent="0.3">
      <c r="B24" s="22" t="str">
        <f>IF(ISBLANK(C24),"",SUBTOTAL(3, $C$3:C24))</f>
        <v/>
      </c>
      <c r="C24" s="36"/>
      <c r="D24" s="23"/>
      <c r="E24" s="24"/>
      <c r="F24" s="24"/>
      <c r="G24" s="27" t="str">
        <f>IF(ISBLANK(Etiket[[#This Row],[ÖLÇÜSÜ]]),"",Etiket[[#This Row],[ADET]]*Etiket[[#This Row],[ÖLÇÜSÜ]]*2/100)</f>
        <v/>
      </c>
      <c r="H24" s="25" t="str">
        <f>IF(ISBLANK(Etiket[[#This Row],[ÖLÇÜSÜ]]),"",45)</f>
        <v/>
      </c>
      <c r="I24" s="25" t="str">
        <f>IF(ISBLANK(Etiket[[#This Row],[ÖLÇÜSÜ]]),"",G24*H24)</f>
        <v/>
      </c>
      <c r="J24" s="26" t="str">
        <f>IF(ISBLANK(Etiket[[#This Row],[ÖLÇÜSÜ]]),"",SUMIF(Etiket[Adı Soyadı],Etiket[[#This Row],[Adı Soyadı]],Etiket[TUTAR]))</f>
        <v/>
      </c>
    </row>
    <row r="25" spans="2:10" ht="16.5" thickTop="1" thickBot="1" x14ac:dyDescent="0.3">
      <c r="B25" s="22" t="str">
        <f>IF(ISBLANK(C25),"",SUBTOTAL(3, $C$3:C25))</f>
        <v/>
      </c>
      <c r="C25" s="36"/>
      <c r="D25" s="23"/>
      <c r="E25" s="24"/>
      <c r="F25" s="24"/>
      <c r="G25" s="27" t="str">
        <f>IF(ISBLANK(Etiket[[#This Row],[ÖLÇÜSÜ]]),"",Etiket[[#This Row],[ADET]]*Etiket[[#This Row],[ÖLÇÜSÜ]]*2/100)</f>
        <v/>
      </c>
      <c r="H25" s="25" t="str">
        <f>IF(ISBLANK(Etiket[[#This Row],[ÖLÇÜSÜ]]),"",45)</f>
        <v/>
      </c>
      <c r="I25" s="25" t="str">
        <f>IF(ISBLANK(Etiket[[#This Row],[ÖLÇÜSÜ]]),"",G25*H25)</f>
        <v/>
      </c>
      <c r="J25" s="26" t="str">
        <f>IF(ISBLANK(Etiket[[#This Row],[ÖLÇÜSÜ]]),"",SUMIF(Etiket[Adı Soyadı],Etiket[[#This Row],[Adı Soyadı]],Etiket[TUTAR]))</f>
        <v/>
      </c>
    </row>
    <row r="26" spans="2:10" ht="16.5" thickTop="1" thickBot="1" x14ac:dyDescent="0.3">
      <c r="B26" s="22" t="str">
        <f>IF(ISBLANK(C26),"",SUBTOTAL(3, $C$3:C26))</f>
        <v/>
      </c>
      <c r="C26" s="36"/>
      <c r="D26" s="23"/>
      <c r="E26" s="24"/>
      <c r="F26" s="24"/>
      <c r="G26" s="27" t="str">
        <f>IF(ISBLANK(Etiket[[#This Row],[ÖLÇÜSÜ]]),"",Etiket[[#This Row],[ADET]]*Etiket[[#This Row],[ÖLÇÜSÜ]]*2/100)</f>
        <v/>
      </c>
      <c r="H26" s="25" t="str">
        <f>IF(ISBLANK(Etiket[[#This Row],[ÖLÇÜSÜ]]),"",45)</f>
        <v/>
      </c>
      <c r="I26" s="25" t="str">
        <f>IF(ISBLANK(Etiket[[#This Row],[ÖLÇÜSÜ]]),"",G26*H26)</f>
        <v/>
      </c>
      <c r="J26" s="26" t="str">
        <f>IF(ISBLANK(Etiket[[#This Row],[ÖLÇÜSÜ]]),"",SUMIF(Etiket[Adı Soyadı],Etiket[[#This Row],[Adı Soyadı]],Etiket[TUTAR]))</f>
        <v/>
      </c>
    </row>
    <row r="27" spans="2:10" ht="16.5" thickTop="1" thickBot="1" x14ac:dyDescent="0.3">
      <c r="B27" s="22" t="str">
        <f>IF(ISBLANK(C27),"",SUBTOTAL(3, $C$3:C27))</f>
        <v/>
      </c>
      <c r="C27" s="36"/>
      <c r="D27" s="23"/>
      <c r="E27" s="24"/>
      <c r="F27" s="24"/>
      <c r="G27" s="27" t="str">
        <f>IF(ISBLANK(Etiket[[#This Row],[ÖLÇÜSÜ]]),"",Etiket[[#This Row],[ADET]]*Etiket[[#This Row],[ÖLÇÜSÜ]]*2/100)</f>
        <v/>
      </c>
      <c r="H27" s="25" t="str">
        <f>IF(ISBLANK(Etiket[[#This Row],[ÖLÇÜSÜ]]),"",45)</f>
        <v/>
      </c>
      <c r="I27" s="25" t="str">
        <f>IF(ISBLANK(Etiket[[#This Row],[ÖLÇÜSÜ]]),"",G27*H27)</f>
        <v/>
      </c>
      <c r="J27" s="26" t="str">
        <f>IF(ISBLANK(Etiket[[#This Row],[ÖLÇÜSÜ]]),"",SUMIF(Etiket[Adı Soyadı],Etiket[[#This Row],[Adı Soyadı]],Etiket[TUTAR]))</f>
        <v/>
      </c>
    </row>
    <row r="28" spans="2:10" ht="16.5" thickTop="1" thickBot="1" x14ac:dyDescent="0.3">
      <c r="B28" s="22" t="str">
        <f>IF(ISBLANK(C28),"",SUBTOTAL(3, $C$3:C28))</f>
        <v/>
      </c>
      <c r="C28" s="36"/>
      <c r="D28" s="23"/>
      <c r="E28" s="24"/>
      <c r="F28" s="24"/>
      <c r="G28" s="27" t="str">
        <f>IF(ISBLANK(Etiket[[#This Row],[ÖLÇÜSÜ]]),"",Etiket[[#This Row],[ADET]]*Etiket[[#This Row],[ÖLÇÜSÜ]]*2/100)</f>
        <v/>
      </c>
      <c r="H28" s="25" t="str">
        <f>IF(ISBLANK(Etiket[[#This Row],[ÖLÇÜSÜ]]),"",45)</f>
        <v/>
      </c>
      <c r="I28" s="25" t="str">
        <f>IF(ISBLANK(Etiket[[#This Row],[ÖLÇÜSÜ]]),"",G28*H28)</f>
        <v/>
      </c>
      <c r="J28" s="26" t="str">
        <f>IF(ISBLANK(Etiket[[#This Row],[ÖLÇÜSÜ]]),"",SUMIF(Etiket[Adı Soyadı],Etiket[[#This Row],[Adı Soyadı]],Etiket[TUTAR]))</f>
        <v/>
      </c>
    </row>
    <row r="29" spans="2:10" ht="16.5" thickTop="1" thickBot="1" x14ac:dyDescent="0.3">
      <c r="B29" s="22" t="str">
        <f>IF(ISBLANK(C29),"",SUBTOTAL(3, $C$3:C29))</f>
        <v/>
      </c>
      <c r="C29" s="36"/>
      <c r="D29" s="23"/>
      <c r="E29" s="24"/>
      <c r="F29" s="24"/>
      <c r="G29" s="27" t="str">
        <f>IF(ISBLANK(Etiket[[#This Row],[ÖLÇÜSÜ]]),"",Etiket[[#This Row],[ADET]]*Etiket[[#This Row],[ÖLÇÜSÜ]]*2/100)</f>
        <v/>
      </c>
      <c r="H29" s="25" t="str">
        <f>IF(ISBLANK(Etiket[[#This Row],[ÖLÇÜSÜ]]),"",45)</f>
        <v/>
      </c>
      <c r="I29" s="25" t="str">
        <f>IF(ISBLANK(Etiket[[#This Row],[ÖLÇÜSÜ]]),"",G29*H29)</f>
        <v/>
      </c>
      <c r="J29" s="26" t="str">
        <f>IF(ISBLANK(Etiket[[#This Row],[ÖLÇÜSÜ]]),"",SUMIF(Etiket[Adı Soyadı],Etiket[[#This Row],[Adı Soyadı]],Etiket[TUTAR]))</f>
        <v/>
      </c>
    </row>
    <row r="30" spans="2:10" ht="16.5" thickTop="1" thickBot="1" x14ac:dyDescent="0.3">
      <c r="B30" s="22" t="str">
        <f>IF(ISBLANK(C30),"",SUBTOTAL(3, $C$3:C30))</f>
        <v/>
      </c>
      <c r="C30" s="36"/>
      <c r="D30" s="23"/>
      <c r="E30" s="24"/>
      <c r="F30" s="24"/>
      <c r="G30" s="27" t="str">
        <f>IF(ISBLANK(Etiket[[#This Row],[ÖLÇÜSÜ]]),"",Etiket[[#This Row],[ADET]]*Etiket[[#This Row],[ÖLÇÜSÜ]]*2/100)</f>
        <v/>
      </c>
      <c r="H30" s="25" t="str">
        <f>IF(ISBLANK(Etiket[[#This Row],[ÖLÇÜSÜ]]),"",45)</f>
        <v/>
      </c>
      <c r="I30" s="25" t="str">
        <f>IF(ISBLANK(Etiket[[#This Row],[ÖLÇÜSÜ]]),"",G30*H30)</f>
        <v/>
      </c>
      <c r="J30" s="26" t="str">
        <f>IF(ISBLANK(Etiket[[#This Row],[ÖLÇÜSÜ]]),"",SUMIF(Etiket[Adı Soyadı],Etiket[[#This Row],[Adı Soyadı]],Etiket[TUTAR]))</f>
        <v/>
      </c>
    </row>
    <row r="31" spans="2:10" ht="16.5" thickTop="1" thickBot="1" x14ac:dyDescent="0.3">
      <c r="B31" s="22" t="str">
        <f>IF(ISBLANK(C31),"",SUBTOTAL(3, $C$3:C31))</f>
        <v/>
      </c>
      <c r="C31" s="36"/>
      <c r="D31" s="23"/>
      <c r="E31" s="24"/>
      <c r="F31" s="24"/>
      <c r="G31" s="27" t="str">
        <f>IF(ISBLANK(Etiket[[#This Row],[ÖLÇÜSÜ]]),"",Etiket[[#This Row],[ADET]]*Etiket[[#This Row],[ÖLÇÜSÜ]]*2/100)</f>
        <v/>
      </c>
      <c r="H31" s="25" t="str">
        <f>IF(ISBLANK(Etiket[[#This Row],[ÖLÇÜSÜ]]),"",45)</f>
        <v/>
      </c>
      <c r="I31" s="25" t="str">
        <f>IF(ISBLANK(Etiket[[#This Row],[ÖLÇÜSÜ]]),"",G31*H31)</f>
        <v/>
      </c>
      <c r="J31" s="26" t="str">
        <f>IF(ISBLANK(Etiket[[#This Row],[ÖLÇÜSÜ]]),"",SUMIF(Etiket[Adı Soyadı],Etiket[[#This Row],[Adı Soyadı]],Etiket[TUTAR]))</f>
        <v/>
      </c>
    </row>
    <row r="32" spans="2:10" ht="16.5" thickTop="1" thickBot="1" x14ac:dyDescent="0.3">
      <c r="B32" s="22" t="str">
        <f>IF(ISBLANK(C32),"",SUBTOTAL(3, $C$3:C32))</f>
        <v/>
      </c>
      <c r="C32" s="36"/>
      <c r="D32" s="23"/>
      <c r="E32" s="24"/>
      <c r="F32" s="24"/>
      <c r="G32" s="27" t="str">
        <f>IF(ISBLANK(Etiket[[#This Row],[ÖLÇÜSÜ]]),"",Etiket[[#This Row],[ADET]]*Etiket[[#This Row],[ÖLÇÜSÜ]]*2/100)</f>
        <v/>
      </c>
      <c r="H32" s="25" t="str">
        <f>IF(ISBLANK(Etiket[[#This Row],[ÖLÇÜSÜ]]),"",45)</f>
        <v/>
      </c>
      <c r="I32" s="25" t="str">
        <f>IF(ISBLANK(Etiket[[#This Row],[ÖLÇÜSÜ]]),"",G32*H32)</f>
        <v/>
      </c>
      <c r="J32" s="26" t="str">
        <f>IF(ISBLANK(Etiket[[#This Row],[ÖLÇÜSÜ]]),"",SUMIF(Etiket[Adı Soyadı],Etiket[[#This Row],[Adı Soyadı]],Etiket[TUTAR]))</f>
        <v/>
      </c>
    </row>
    <row r="33" spans="2:10" ht="16.5" thickTop="1" thickBot="1" x14ac:dyDescent="0.3">
      <c r="B33" s="22" t="str">
        <f>IF(ISBLANK(C33),"",SUBTOTAL(3, $C$3:C33))</f>
        <v/>
      </c>
      <c r="C33" s="36"/>
      <c r="D33" s="23"/>
      <c r="E33" s="24"/>
      <c r="F33" s="24"/>
      <c r="G33" s="27" t="str">
        <f>IF(ISBLANK(Etiket[[#This Row],[ÖLÇÜSÜ]]),"",Etiket[[#This Row],[ADET]]*Etiket[[#This Row],[ÖLÇÜSÜ]]*2/100)</f>
        <v/>
      </c>
      <c r="H33" s="25" t="str">
        <f>IF(ISBLANK(Etiket[[#This Row],[ÖLÇÜSÜ]]),"",45)</f>
        <v/>
      </c>
      <c r="I33" s="25" t="str">
        <f>IF(ISBLANK(Etiket[[#This Row],[ÖLÇÜSÜ]]),"",G33*H33)</f>
        <v/>
      </c>
      <c r="J33" s="26" t="str">
        <f>IF(ISBLANK(Etiket[[#This Row],[ÖLÇÜSÜ]]),"",SUMIF(Etiket[Adı Soyadı],Etiket[[#This Row],[Adı Soyadı]],Etiket[TUTAR]))</f>
        <v/>
      </c>
    </row>
    <row r="34" spans="2:10" ht="16.5" thickTop="1" thickBot="1" x14ac:dyDescent="0.3">
      <c r="B34" s="22" t="str">
        <f>IF(ISBLANK(C34),"",SUBTOTAL(3, $C$3:C34))</f>
        <v/>
      </c>
      <c r="C34" s="36"/>
      <c r="D34" s="23"/>
      <c r="E34" s="24"/>
      <c r="F34" s="24"/>
      <c r="G34" s="27" t="str">
        <f>IF(ISBLANK(Etiket[[#This Row],[ÖLÇÜSÜ]]),"",Etiket[[#This Row],[ADET]]*Etiket[[#This Row],[ÖLÇÜSÜ]]*2/100)</f>
        <v/>
      </c>
      <c r="H34" s="25" t="str">
        <f>IF(ISBLANK(Etiket[[#This Row],[ÖLÇÜSÜ]]),"",45)</f>
        <v/>
      </c>
      <c r="I34" s="25" t="str">
        <f>IF(ISBLANK(Etiket[[#This Row],[ÖLÇÜSÜ]]),"",G34*H34)</f>
        <v/>
      </c>
      <c r="J34" s="26" t="str">
        <f>IF(ISBLANK(Etiket[[#This Row],[ÖLÇÜSÜ]]),"",SUMIF(Etiket[Adı Soyadı],Etiket[[#This Row],[Adı Soyadı]],Etiket[TUTAR]))</f>
        <v/>
      </c>
    </row>
    <row r="35" spans="2:10" ht="16.5" thickTop="1" thickBot="1" x14ac:dyDescent="0.3">
      <c r="B35" s="22" t="str">
        <f>IF(ISBLANK(C35),"",SUBTOTAL(3, $C$3:C35))</f>
        <v/>
      </c>
      <c r="C35" s="36"/>
      <c r="D35" s="23"/>
      <c r="E35" s="24"/>
      <c r="F35" s="24"/>
      <c r="G35" s="27" t="str">
        <f>IF(ISBLANK(Etiket[[#This Row],[ÖLÇÜSÜ]]),"",Etiket[[#This Row],[ADET]]*Etiket[[#This Row],[ÖLÇÜSÜ]]*2/100)</f>
        <v/>
      </c>
      <c r="H35" s="25" t="str">
        <f>IF(ISBLANK(Etiket[[#This Row],[ÖLÇÜSÜ]]),"",45)</f>
        <v/>
      </c>
      <c r="I35" s="25" t="str">
        <f>IF(ISBLANK(Etiket[[#This Row],[ÖLÇÜSÜ]]),"",G35*H35)</f>
        <v/>
      </c>
      <c r="J35" s="26" t="str">
        <f>IF(ISBLANK(Etiket[[#This Row],[ÖLÇÜSÜ]]),"",SUMIF(Etiket[Adı Soyadı],Etiket[[#This Row],[Adı Soyadı]],Etiket[TUTAR]))</f>
        <v/>
      </c>
    </row>
    <row r="36" spans="2:10" ht="16.5" thickTop="1" thickBot="1" x14ac:dyDescent="0.3">
      <c r="B36" s="22" t="str">
        <f>IF(ISBLANK(C36),"",SUBTOTAL(3, $C$3:C36))</f>
        <v/>
      </c>
      <c r="C36" s="36"/>
      <c r="D36" s="23"/>
      <c r="E36" s="24"/>
      <c r="F36" s="24"/>
      <c r="G36" s="27" t="str">
        <f>IF(ISBLANK(Etiket[[#This Row],[ÖLÇÜSÜ]]),"",Etiket[[#This Row],[ADET]]*Etiket[[#This Row],[ÖLÇÜSÜ]]*2/100)</f>
        <v/>
      </c>
      <c r="H36" s="25" t="str">
        <f>IF(ISBLANK(Etiket[[#This Row],[ÖLÇÜSÜ]]),"",45)</f>
        <v/>
      </c>
      <c r="I36" s="25" t="str">
        <f>IF(ISBLANK(Etiket[[#This Row],[ÖLÇÜSÜ]]),"",G36*H36)</f>
        <v/>
      </c>
      <c r="J36" s="26" t="str">
        <f>IF(ISBLANK(Etiket[[#This Row],[ÖLÇÜSÜ]]),"",SUMIF(Etiket[Adı Soyadı],Etiket[[#This Row],[Adı Soyadı]],Etiket[TUTAR]))</f>
        <v/>
      </c>
    </row>
    <row r="37" spans="2:10" ht="16.5" thickTop="1" thickBot="1" x14ac:dyDescent="0.3">
      <c r="B37" s="22" t="str">
        <f>IF(ISBLANK(C37),"",SUBTOTAL(3, $C$3:C37))</f>
        <v/>
      </c>
      <c r="C37" s="36"/>
      <c r="D37" s="23"/>
      <c r="E37" s="24"/>
      <c r="F37" s="24"/>
      <c r="G37" s="27" t="str">
        <f>IF(ISBLANK(Etiket[[#This Row],[ÖLÇÜSÜ]]),"",Etiket[[#This Row],[ADET]]*Etiket[[#This Row],[ÖLÇÜSÜ]]*2/100)</f>
        <v/>
      </c>
      <c r="H37" s="25" t="str">
        <f>IF(ISBLANK(Etiket[[#This Row],[ÖLÇÜSÜ]]),"",45)</f>
        <v/>
      </c>
      <c r="I37" s="25" t="str">
        <f>IF(ISBLANK(Etiket[[#This Row],[ÖLÇÜSÜ]]),"",G37*H37)</f>
        <v/>
      </c>
      <c r="J37" s="26" t="str">
        <f>IF(ISBLANK(Etiket[[#This Row],[ÖLÇÜSÜ]]),"",SUMIF(Etiket[Adı Soyadı],Etiket[[#This Row],[Adı Soyadı]],Etiket[TUTAR]))</f>
        <v/>
      </c>
    </row>
    <row r="38" spans="2:10" ht="16.5" thickTop="1" thickBot="1" x14ac:dyDescent="0.3">
      <c r="B38" s="22" t="str">
        <f>IF(ISBLANK(C38),"",SUBTOTAL(3, $C$3:C38))</f>
        <v/>
      </c>
      <c r="C38" s="36"/>
      <c r="D38" s="23"/>
      <c r="E38" s="24"/>
      <c r="F38" s="24"/>
      <c r="G38" s="27" t="str">
        <f>IF(ISBLANK(Etiket[[#This Row],[ÖLÇÜSÜ]]),"",Etiket[[#This Row],[ADET]]*Etiket[[#This Row],[ÖLÇÜSÜ]]*2/100)</f>
        <v/>
      </c>
      <c r="H38" s="25" t="str">
        <f>IF(ISBLANK(Etiket[[#This Row],[ÖLÇÜSÜ]]),"",45)</f>
        <v/>
      </c>
      <c r="I38" s="25" t="str">
        <f>IF(ISBLANK(Etiket[[#This Row],[ÖLÇÜSÜ]]),"",G38*H38)</f>
        <v/>
      </c>
      <c r="J38" s="26" t="str">
        <f>IF(ISBLANK(Etiket[[#This Row],[ÖLÇÜSÜ]]),"",SUMIF(Etiket[Adı Soyadı],Etiket[[#This Row],[Adı Soyadı]],Etiket[TUTAR]))</f>
        <v/>
      </c>
    </row>
    <row r="39" spans="2:10" ht="16.5" thickTop="1" thickBot="1" x14ac:dyDescent="0.3">
      <c r="B39" s="22" t="str">
        <f>IF(ISBLANK(C39),"",SUBTOTAL(3, $C$3:C39))</f>
        <v/>
      </c>
      <c r="C39" s="36"/>
      <c r="D39" s="23"/>
      <c r="E39" s="24"/>
      <c r="F39" s="24"/>
      <c r="G39" s="27" t="str">
        <f>IF(ISBLANK(Etiket[[#This Row],[ÖLÇÜSÜ]]),"",Etiket[[#This Row],[ADET]]*Etiket[[#This Row],[ÖLÇÜSÜ]]*2/100)</f>
        <v/>
      </c>
      <c r="H39" s="25" t="str">
        <f>IF(ISBLANK(Etiket[[#This Row],[ÖLÇÜSÜ]]),"",45)</f>
        <v/>
      </c>
      <c r="I39" s="25" t="str">
        <f>IF(ISBLANK(Etiket[[#This Row],[ÖLÇÜSÜ]]),"",G39*H39)</f>
        <v/>
      </c>
      <c r="J39" s="26" t="str">
        <f>IF(ISBLANK(Etiket[[#This Row],[ÖLÇÜSÜ]]),"",SUMIF(Etiket[Adı Soyadı],Etiket[[#This Row],[Adı Soyadı]],Etiket[TUTAR]))</f>
        <v/>
      </c>
    </row>
    <row r="40" spans="2:10" ht="16.5" thickTop="1" thickBot="1" x14ac:dyDescent="0.3">
      <c r="B40" s="22" t="str">
        <f>IF(ISBLANK(C40),"",SUBTOTAL(3, $C$3:C40))</f>
        <v/>
      </c>
      <c r="C40" s="36"/>
      <c r="D40" s="23"/>
      <c r="E40" s="24"/>
      <c r="F40" s="24"/>
      <c r="G40" s="27" t="str">
        <f>IF(ISBLANK(Etiket[[#This Row],[ÖLÇÜSÜ]]),"",Etiket[[#This Row],[ADET]]*Etiket[[#This Row],[ÖLÇÜSÜ]]*2/100)</f>
        <v/>
      </c>
      <c r="H40" s="25" t="str">
        <f>IF(ISBLANK(Etiket[[#This Row],[ÖLÇÜSÜ]]),"",45)</f>
        <v/>
      </c>
      <c r="I40" s="25" t="str">
        <f>IF(ISBLANK(Etiket[[#This Row],[ÖLÇÜSÜ]]),"",G40*H40)</f>
        <v/>
      </c>
      <c r="J40" s="26" t="str">
        <f>IF(ISBLANK(Etiket[[#This Row],[ÖLÇÜSÜ]]),"",SUMIF(Etiket[Adı Soyadı],Etiket[[#This Row],[Adı Soyadı]],Etiket[TUTAR]))</f>
        <v/>
      </c>
    </row>
    <row r="41" spans="2:10" ht="16.5" thickTop="1" thickBot="1" x14ac:dyDescent="0.3">
      <c r="B41" s="22" t="str">
        <f>IF(ISBLANK(C41),"",SUBTOTAL(3, $C$3:C41))</f>
        <v/>
      </c>
      <c r="C41" s="36"/>
      <c r="D41" s="23"/>
      <c r="E41" s="24"/>
      <c r="F41" s="24"/>
      <c r="G41" s="27" t="str">
        <f>IF(ISBLANK(Etiket[[#This Row],[ÖLÇÜSÜ]]),"",Etiket[[#This Row],[ADET]]*Etiket[[#This Row],[ÖLÇÜSÜ]]*2/100)</f>
        <v/>
      </c>
      <c r="H41" s="25" t="str">
        <f>IF(ISBLANK(Etiket[[#This Row],[ÖLÇÜSÜ]]),"",45)</f>
        <v/>
      </c>
      <c r="I41" s="25" t="str">
        <f>IF(ISBLANK(Etiket[[#This Row],[ÖLÇÜSÜ]]),"",G41*H41)</f>
        <v/>
      </c>
      <c r="J41" s="26" t="str">
        <f>IF(ISBLANK(Etiket[[#This Row],[ÖLÇÜSÜ]]),"",SUMIF(Etiket[Adı Soyadı],Etiket[[#This Row],[Adı Soyadı]],Etiket[TUTAR]))</f>
        <v/>
      </c>
    </row>
    <row r="42" spans="2:10" ht="16.5" thickTop="1" thickBot="1" x14ac:dyDescent="0.3">
      <c r="B42" s="22" t="str">
        <f>IF(ISBLANK(C42),"",SUBTOTAL(3, $C$3:C42))</f>
        <v/>
      </c>
      <c r="C42" s="36"/>
      <c r="D42" s="23"/>
      <c r="E42" s="24"/>
      <c r="F42" s="24"/>
      <c r="G42" s="27" t="str">
        <f>IF(ISBLANK(Etiket[[#This Row],[ÖLÇÜSÜ]]),"",Etiket[[#This Row],[ADET]]*Etiket[[#This Row],[ÖLÇÜSÜ]]*2/100)</f>
        <v/>
      </c>
      <c r="H42" s="25" t="str">
        <f>IF(ISBLANK(Etiket[[#This Row],[ÖLÇÜSÜ]]),"",45)</f>
        <v/>
      </c>
      <c r="I42" s="25" t="str">
        <f>IF(ISBLANK(Etiket[[#This Row],[ÖLÇÜSÜ]]),"",G42*H42)</f>
        <v/>
      </c>
      <c r="J42" s="26" t="str">
        <f>IF(ISBLANK(Etiket[[#This Row],[ÖLÇÜSÜ]]),"",SUMIF(Etiket[Adı Soyadı],Etiket[[#This Row],[Adı Soyadı]],Etiket[TUTAR]))</f>
        <v/>
      </c>
    </row>
    <row r="43" spans="2:10" ht="16.5" thickTop="1" thickBot="1" x14ac:dyDescent="0.3">
      <c r="B43" s="22" t="str">
        <f>IF(ISBLANK(C43),"",SUBTOTAL(3, $C$3:C43))</f>
        <v/>
      </c>
      <c r="C43" s="36"/>
      <c r="D43" s="23"/>
      <c r="E43" s="24"/>
      <c r="F43" s="24"/>
      <c r="G43" s="27" t="str">
        <f>IF(ISBLANK(Etiket[[#This Row],[ÖLÇÜSÜ]]),"",Etiket[[#This Row],[ADET]]*Etiket[[#This Row],[ÖLÇÜSÜ]]*2/100)</f>
        <v/>
      </c>
      <c r="H43" s="25" t="str">
        <f>IF(ISBLANK(Etiket[[#This Row],[ÖLÇÜSÜ]]),"",45)</f>
        <v/>
      </c>
      <c r="I43" s="25" t="str">
        <f>IF(ISBLANK(Etiket[[#This Row],[ÖLÇÜSÜ]]),"",G43*H43)</f>
        <v/>
      </c>
      <c r="J43" s="26" t="str">
        <f>IF(ISBLANK(Etiket[[#This Row],[ÖLÇÜSÜ]]),"",SUMIF(Etiket[Adı Soyadı],Etiket[[#This Row],[Adı Soyadı]],Etiket[TUTAR]))</f>
        <v/>
      </c>
    </row>
    <row r="44" spans="2:10" ht="16.5" thickTop="1" thickBot="1" x14ac:dyDescent="0.3">
      <c r="B44" s="22" t="str">
        <f>IF(ISBLANK(C44),"",SUBTOTAL(3, $C$3:C44))</f>
        <v/>
      </c>
      <c r="C44" s="36"/>
      <c r="D44" s="23"/>
      <c r="E44" s="24"/>
      <c r="F44" s="24"/>
      <c r="G44" s="27" t="str">
        <f>IF(ISBLANK(Etiket[[#This Row],[ÖLÇÜSÜ]]),"",Etiket[[#This Row],[ADET]]*Etiket[[#This Row],[ÖLÇÜSÜ]]*2/100)</f>
        <v/>
      </c>
      <c r="H44" s="25" t="str">
        <f>IF(ISBLANK(Etiket[[#This Row],[ÖLÇÜSÜ]]),"",45)</f>
        <v/>
      </c>
      <c r="I44" s="25" t="str">
        <f>IF(ISBLANK(Etiket[[#This Row],[ÖLÇÜSÜ]]),"",G44*H44)</f>
        <v/>
      </c>
      <c r="J44" s="26" t="str">
        <f>IF(ISBLANK(Etiket[[#This Row],[ÖLÇÜSÜ]]),"",SUMIF(Etiket[Adı Soyadı],Etiket[[#This Row],[Adı Soyadı]],Etiket[TUTAR]))</f>
        <v/>
      </c>
    </row>
    <row r="45" spans="2:10" ht="16.5" thickTop="1" thickBot="1" x14ac:dyDescent="0.3">
      <c r="B45" s="22" t="str">
        <f>IF(ISBLANK(C45),"",SUBTOTAL(3, $C$3:C45))</f>
        <v/>
      </c>
      <c r="C45" s="36"/>
      <c r="D45" s="23"/>
      <c r="E45" s="24"/>
      <c r="F45" s="24"/>
      <c r="G45" s="27" t="str">
        <f>IF(ISBLANK(Etiket[[#This Row],[ÖLÇÜSÜ]]),"",Etiket[[#This Row],[ADET]]*Etiket[[#This Row],[ÖLÇÜSÜ]]*2/100)</f>
        <v/>
      </c>
      <c r="H45" s="25" t="str">
        <f>IF(ISBLANK(Etiket[[#This Row],[ÖLÇÜSÜ]]),"",45)</f>
        <v/>
      </c>
      <c r="I45" s="25" t="str">
        <f>IF(ISBLANK(Etiket[[#This Row],[ÖLÇÜSÜ]]),"",G45*H45)</f>
        <v/>
      </c>
      <c r="J45" s="26" t="str">
        <f>IF(ISBLANK(Etiket[[#This Row],[ÖLÇÜSÜ]]),"",SUMIF(Etiket[Adı Soyadı],Etiket[[#This Row],[Adı Soyadı]],Etiket[TUTAR]))</f>
        <v/>
      </c>
    </row>
    <row r="46" spans="2:10" ht="16.5" thickTop="1" thickBot="1" x14ac:dyDescent="0.3">
      <c r="B46" s="22" t="str">
        <f>IF(ISBLANK(C46),"",SUBTOTAL(3, $C$3:C46))</f>
        <v/>
      </c>
      <c r="C46" s="36"/>
      <c r="D46" s="23"/>
      <c r="E46" s="24"/>
      <c r="F46" s="24"/>
      <c r="G46" s="27" t="str">
        <f>IF(ISBLANK(Etiket[[#This Row],[ÖLÇÜSÜ]]),"",Etiket[[#This Row],[ADET]]*Etiket[[#This Row],[ÖLÇÜSÜ]]*2/100)</f>
        <v/>
      </c>
      <c r="H46" s="25" t="str">
        <f>IF(ISBLANK(Etiket[[#This Row],[ÖLÇÜSÜ]]),"",45)</f>
        <v/>
      </c>
      <c r="I46" s="25" t="str">
        <f>IF(ISBLANK(Etiket[[#This Row],[ÖLÇÜSÜ]]),"",G46*H46)</f>
        <v/>
      </c>
      <c r="J46" s="26" t="str">
        <f>IF(ISBLANK(Etiket[[#This Row],[ÖLÇÜSÜ]]),"",SUMIF(Etiket[Adı Soyadı],Etiket[[#This Row],[Adı Soyadı]],Etiket[TUTAR]))</f>
        <v/>
      </c>
    </row>
    <row r="47" spans="2:10" ht="16.5" thickTop="1" thickBot="1" x14ac:dyDescent="0.3">
      <c r="B47" s="22" t="str">
        <f>IF(ISBLANK(C47),"",SUBTOTAL(3, $C$3:C47))</f>
        <v/>
      </c>
      <c r="C47" s="36"/>
      <c r="D47" s="23"/>
      <c r="E47" s="24"/>
      <c r="F47" s="24"/>
      <c r="G47" s="27" t="str">
        <f>IF(ISBLANK(Etiket[[#This Row],[ÖLÇÜSÜ]]),"",Etiket[[#This Row],[ADET]]*Etiket[[#This Row],[ÖLÇÜSÜ]]*2/100)</f>
        <v/>
      </c>
      <c r="H47" s="25" t="str">
        <f>IF(ISBLANK(Etiket[[#This Row],[ÖLÇÜSÜ]]),"",45)</f>
        <v/>
      </c>
      <c r="I47" s="25" t="str">
        <f>IF(ISBLANK(Etiket[[#This Row],[ÖLÇÜSÜ]]),"",G47*H47)</f>
        <v/>
      </c>
      <c r="J47" s="26" t="str">
        <f>IF(ISBLANK(Etiket[[#This Row],[ÖLÇÜSÜ]]),"",SUMIF(Etiket[Adı Soyadı],Etiket[[#This Row],[Adı Soyadı]],Etiket[TUTAR]))</f>
        <v/>
      </c>
    </row>
    <row r="48" spans="2:10" ht="16.5" thickTop="1" thickBot="1" x14ac:dyDescent="0.3">
      <c r="B48" s="22" t="str">
        <f>IF(ISBLANK(C48),"",SUBTOTAL(3, $C$3:C48))</f>
        <v/>
      </c>
      <c r="C48" s="36"/>
      <c r="D48" s="23"/>
      <c r="E48" s="24"/>
      <c r="F48" s="24"/>
      <c r="G48" s="27" t="str">
        <f>IF(ISBLANK(Etiket[[#This Row],[ÖLÇÜSÜ]]),"",Etiket[[#This Row],[ADET]]*Etiket[[#This Row],[ÖLÇÜSÜ]]*2/100)</f>
        <v/>
      </c>
      <c r="H48" s="25" t="str">
        <f>IF(ISBLANK(Etiket[[#This Row],[ÖLÇÜSÜ]]),"",45)</f>
        <v/>
      </c>
      <c r="I48" s="25" t="str">
        <f>IF(ISBLANK(Etiket[[#This Row],[ÖLÇÜSÜ]]),"",G48*H48)</f>
        <v/>
      </c>
      <c r="J48" s="26" t="str">
        <f>IF(ISBLANK(Etiket[[#This Row],[ÖLÇÜSÜ]]),"",SUMIF(Etiket[Adı Soyadı],Etiket[[#This Row],[Adı Soyadı]],Etiket[TUTAR]))</f>
        <v/>
      </c>
    </row>
    <row r="49" spans="2:10" ht="16.5" thickTop="1" thickBot="1" x14ac:dyDescent="0.3">
      <c r="B49" s="22" t="str">
        <f>IF(ISBLANK(C49),"",SUBTOTAL(3, $C$3:C49))</f>
        <v/>
      </c>
      <c r="C49" s="36"/>
      <c r="D49" s="23"/>
      <c r="E49" s="24"/>
      <c r="F49" s="24"/>
      <c r="G49" s="27" t="str">
        <f>IF(ISBLANK(Etiket[[#This Row],[ÖLÇÜSÜ]]),"",Etiket[[#This Row],[ADET]]*Etiket[[#This Row],[ÖLÇÜSÜ]]*2/100)</f>
        <v/>
      </c>
      <c r="H49" s="25" t="str">
        <f>IF(ISBLANK(Etiket[[#This Row],[ÖLÇÜSÜ]]),"",45)</f>
        <v/>
      </c>
      <c r="I49" s="25" t="str">
        <f>IF(ISBLANK(Etiket[[#This Row],[ÖLÇÜSÜ]]),"",G49*H49)</f>
        <v/>
      </c>
      <c r="J49" s="26" t="str">
        <f>IF(ISBLANK(Etiket[[#This Row],[ÖLÇÜSÜ]]),"",SUMIF(Etiket[Adı Soyadı],Etiket[[#This Row],[Adı Soyadı]],Etiket[TUTAR]))</f>
        <v/>
      </c>
    </row>
    <row r="50" spans="2:10" ht="16.5" thickTop="1" thickBot="1" x14ac:dyDescent="0.3">
      <c r="B50" s="22" t="str">
        <f>IF(ISBLANK(C50),"",SUBTOTAL(3, $C$3:C50))</f>
        <v/>
      </c>
      <c r="C50" s="36"/>
      <c r="D50" s="23"/>
      <c r="E50" s="24"/>
      <c r="F50" s="24"/>
      <c r="G50" s="27" t="str">
        <f>IF(ISBLANK(Etiket[[#This Row],[ÖLÇÜSÜ]]),"",Etiket[[#This Row],[ADET]]*Etiket[[#This Row],[ÖLÇÜSÜ]]*2/100)</f>
        <v/>
      </c>
      <c r="H50" s="25" t="str">
        <f>IF(ISBLANK(Etiket[[#This Row],[ÖLÇÜSÜ]]),"",45)</f>
        <v/>
      </c>
      <c r="I50" s="25" t="str">
        <f>IF(ISBLANK(Etiket[[#This Row],[ÖLÇÜSÜ]]),"",G50*H50)</f>
        <v/>
      </c>
      <c r="J50" s="26" t="str">
        <f>IF(ISBLANK(Etiket[[#This Row],[ÖLÇÜSÜ]]),"",SUMIF(Etiket[Adı Soyadı],Etiket[[#This Row],[Adı Soyadı]],Etiket[TUTAR]))</f>
        <v/>
      </c>
    </row>
    <row r="51" spans="2:10" ht="16.5" thickTop="1" thickBot="1" x14ac:dyDescent="0.3">
      <c r="B51" s="22" t="str">
        <f>IF(ISBLANK(C51),"",SUBTOTAL(3, $C$3:C51))</f>
        <v/>
      </c>
      <c r="C51" s="36"/>
      <c r="D51" s="23"/>
      <c r="E51" s="24"/>
      <c r="F51" s="24"/>
      <c r="G51" s="27" t="str">
        <f>IF(ISBLANK(Etiket[[#This Row],[ÖLÇÜSÜ]]),"",Etiket[[#This Row],[ADET]]*Etiket[[#This Row],[ÖLÇÜSÜ]]*2/100)</f>
        <v/>
      </c>
      <c r="H51" s="25" t="str">
        <f>IF(ISBLANK(Etiket[[#This Row],[ÖLÇÜSÜ]]),"",45)</f>
        <v/>
      </c>
      <c r="I51" s="25" t="str">
        <f>IF(ISBLANK(Etiket[[#This Row],[ÖLÇÜSÜ]]),"",G51*H51)</f>
        <v/>
      </c>
      <c r="J51" s="26" t="str">
        <f>IF(ISBLANK(Etiket[[#This Row],[ÖLÇÜSÜ]]),"",SUMIF(Etiket[Adı Soyadı],Etiket[[#This Row],[Adı Soyadı]],Etiket[TUTAR]))</f>
        <v/>
      </c>
    </row>
    <row r="52" spans="2:10" ht="16.5" thickTop="1" thickBot="1" x14ac:dyDescent="0.3">
      <c r="B52" s="22" t="str">
        <f>IF(ISBLANK(C52),"",SUBTOTAL(3, $C$3:C52))</f>
        <v/>
      </c>
      <c r="C52" s="36"/>
      <c r="D52" s="23"/>
      <c r="E52" s="24"/>
      <c r="F52" s="24"/>
      <c r="G52" s="27" t="str">
        <f>IF(ISBLANK(Etiket[[#This Row],[ÖLÇÜSÜ]]),"",Etiket[[#This Row],[ADET]]*Etiket[[#This Row],[ÖLÇÜSÜ]]*2/100)</f>
        <v/>
      </c>
      <c r="H52" s="25" t="str">
        <f>IF(ISBLANK(Etiket[[#This Row],[ÖLÇÜSÜ]]),"",45)</f>
        <v/>
      </c>
      <c r="I52" s="25" t="str">
        <f>IF(ISBLANK(Etiket[[#This Row],[ÖLÇÜSÜ]]),"",G52*H52)</f>
        <v/>
      </c>
      <c r="J52" s="26" t="str">
        <f>IF(ISBLANK(Etiket[[#This Row],[ÖLÇÜSÜ]]),"",SUMIF(Etiket[Adı Soyadı],Etiket[[#This Row],[Adı Soyadı]],Etiket[TUTAR]))</f>
        <v/>
      </c>
    </row>
    <row r="53" spans="2:10" ht="16.5" thickTop="1" thickBot="1" x14ac:dyDescent="0.3">
      <c r="B53" s="22" t="str">
        <f>IF(ISBLANK(C53),"",SUBTOTAL(3, $C$3:C53))</f>
        <v/>
      </c>
      <c r="C53" s="36"/>
      <c r="D53" s="23"/>
      <c r="E53" s="24"/>
      <c r="F53" s="24"/>
      <c r="G53" s="27" t="str">
        <f>IF(ISBLANK(Etiket[[#This Row],[ÖLÇÜSÜ]]),"",Etiket[[#This Row],[ADET]]*Etiket[[#This Row],[ÖLÇÜSÜ]]*2/100)</f>
        <v/>
      </c>
      <c r="H53" s="25" t="str">
        <f>IF(ISBLANK(Etiket[[#This Row],[ÖLÇÜSÜ]]),"",45)</f>
        <v/>
      </c>
      <c r="I53" s="25" t="str">
        <f>IF(ISBLANK(Etiket[[#This Row],[ÖLÇÜSÜ]]),"",G53*H53)</f>
        <v/>
      </c>
      <c r="J53" s="26" t="str">
        <f>IF(ISBLANK(Etiket[[#This Row],[ÖLÇÜSÜ]]),"",SUMIF(Etiket[Adı Soyadı],Etiket[[#This Row],[Adı Soyadı]],Etiket[TUTAR]))</f>
        <v/>
      </c>
    </row>
    <row r="54" spans="2:10" ht="16.5" thickTop="1" thickBot="1" x14ac:dyDescent="0.3">
      <c r="B54" s="22" t="str">
        <f>IF(ISBLANK(C54),"",SUBTOTAL(3, $C$3:C54))</f>
        <v/>
      </c>
      <c r="C54" s="36"/>
      <c r="D54" s="23"/>
      <c r="E54" s="24"/>
      <c r="F54" s="24"/>
      <c r="G54" s="27" t="str">
        <f>IF(ISBLANK(Etiket[[#This Row],[ÖLÇÜSÜ]]),"",Etiket[[#This Row],[ADET]]*Etiket[[#This Row],[ÖLÇÜSÜ]]*2/100)</f>
        <v/>
      </c>
      <c r="H54" s="25" t="str">
        <f>IF(ISBLANK(Etiket[[#This Row],[ÖLÇÜSÜ]]),"",45)</f>
        <v/>
      </c>
      <c r="I54" s="25" t="str">
        <f>IF(ISBLANK(Etiket[[#This Row],[ÖLÇÜSÜ]]),"",G54*H54)</f>
        <v/>
      </c>
      <c r="J54" s="26" t="str">
        <f>IF(ISBLANK(Etiket[[#This Row],[ÖLÇÜSÜ]]),"",SUMIF(Etiket[Adı Soyadı],Etiket[[#This Row],[Adı Soyadı]],Etiket[TUTAR]))</f>
        <v/>
      </c>
    </row>
    <row r="55" spans="2:10" ht="16.5" thickTop="1" thickBot="1" x14ac:dyDescent="0.3">
      <c r="B55" s="22" t="str">
        <f>IF(ISBLANK(C55),"",SUBTOTAL(3, $C$3:C55))</f>
        <v/>
      </c>
      <c r="C55" s="36"/>
      <c r="D55" s="23"/>
      <c r="E55" s="24"/>
      <c r="F55" s="24"/>
      <c r="G55" s="27" t="str">
        <f>IF(ISBLANK(Etiket[[#This Row],[ÖLÇÜSÜ]]),"",Etiket[[#This Row],[ADET]]*Etiket[[#This Row],[ÖLÇÜSÜ]]*2/100)</f>
        <v/>
      </c>
      <c r="H55" s="25" t="str">
        <f>IF(ISBLANK(Etiket[[#This Row],[ÖLÇÜSÜ]]),"",45)</f>
        <v/>
      </c>
      <c r="I55" s="25" t="str">
        <f>IF(ISBLANK(Etiket[[#This Row],[ÖLÇÜSÜ]]),"",G55*H55)</f>
        <v/>
      </c>
      <c r="J55" s="26" t="str">
        <f>IF(ISBLANK(Etiket[[#This Row],[ÖLÇÜSÜ]]),"",SUMIF(Etiket[Adı Soyadı],Etiket[[#This Row],[Adı Soyadı]],Etiket[TUTAR]))</f>
        <v/>
      </c>
    </row>
    <row r="56" spans="2:10" ht="16.5" thickTop="1" thickBot="1" x14ac:dyDescent="0.3">
      <c r="B56" s="22" t="str">
        <f>IF(ISBLANK(C56),"",SUBTOTAL(3, $C$3:C56))</f>
        <v/>
      </c>
      <c r="C56" s="36"/>
      <c r="D56" s="23"/>
      <c r="E56" s="24"/>
      <c r="F56" s="24"/>
      <c r="G56" s="27" t="str">
        <f>IF(ISBLANK(Etiket[[#This Row],[ÖLÇÜSÜ]]),"",Etiket[[#This Row],[ADET]]*Etiket[[#This Row],[ÖLÇÜSÜ]]*2/100)</f>
        <v/>
      </c>
      <c r="H56" s="25" t="str">
        <f>IF(ISBLANK(Etiket[[#This Row],[ÖLÇÜSÜ]]),"",45)</f>
        <v/>
      </c>
      <c r="I56" s="25" t="str">
        <f>IF(ISBLANK(Etiket[[#This Row],[ÖLÇÜSÜ]]),"",G56*H56)</f>
        <v/>
      </c>
      <c r="J56" s="26" t="str">
        <f>IF(ISBLANK(Etiket[[#This Row],[ÖLÇÜSÜ]]),"",SUMIF(Etiket[Adı Soyadı],Etiket[[#This Row],[Adı Soyadı]],Etiket[TUTAR]))</f>
        <v/>
      </c>
    </row>
    <row r="57" spans="2:10" ht="16.5" thickTop="1" thickBot="1" x14ac:dyDescent="0.3">
      <c r="B57" s="22" t="str">
        <f>IF(ISBLANK(C57),"",SUBTOTAL(3, $C$3:C57))</f>
        <v/>
      </c>
      <c r="C57" s="36"/>
      <c r="D57" s="23"/>
      <c r="E57" s="24"/>
      <c r="F57" s="24"/>
      <c r="G57" s="27" t="str">
        <f>IF(ISBLANK(Etiket[[#This Row],[ÖLÇÜSÜ]]),"",Etiket[[#This Row],[ADET]]*Etiket[[#This Row],[ÖLÇÜSÜ]]*2/100)</f>
        <v/>
      </c>
      <c r="H57" s="25" t="str">
        <f>IF(ISBLANK(Etiket[[#This Row],[ÖLÇÜSÜ]]),"",45)</f>
        <v/>
      </c>
      <c r="I57" s="25" t="str">
        <f>IF(ISBLANK(Etiket[[#This Row],[ÖLÇÜSÜ]]),"",G57*H57)</f>
        <v/>
      </c>
      <c r="J57" s="26" t="str">
        <f>IF(ISBLANK(Etiket[[#This Row],[ÖLÇÜSÜ]]),"",SUMIF(Etiket[Adı Soyadı],Etiket[[#This Row],[Adı Soyadı]],Etiket[TUTAR]))</f>
        <v/>
      </c>
    </row>
    <row r="58" spans="2:10" ht="16.5" thickTop="1" thickBot="1" x14ac:dyDescent="0.3">
      <c r="B58" s="22" t="str">
        <f>IF(ISBLANK(C58),"",SUBTOTAL(3, $C$3:C58))</f>
        <v/>
      </c>
      <c r="C58" s="36"/>
      <c r="D58" s="23"/>
      <c r="E58" s="24"/>
      <c r="F58" s="24"/>
      <c r="G58" s="27" t="str">
        <f>IF(ISBLANK(Etiket[[#This Row],[ÖLÇÜSÜ]]),"",Etiket[[#This Row],[ADET]]*Etiket[[#This Row],[ÖLÇÜSÜ]]*2/100)</f>
        <v/>
      </c>
      <c r="H58" s="25" t="str">
        <f>IF(ISBLANK(Etiket[[#This Row],[ÖLÇÜSÜ]]),"",45)</f>
        <v/>
      </c>
      <c r="I58" s="25" t="str">
        <f>IF(ISBLANK(Etiket[[#This Row],[ÖLÇÜSÜ]]),"",G58*H58)</f>
        <v/>
      </c>
      <c r="J58" s="26" t="str">
        <f>IF(ISBLANK(Etiket[[#This Row],[ÖLÇÜSÜ]]),"",SUMIF(Etiket[Adı Soyadı],Etiket[[#This Row],[Adı Soyadı]],Etiket[TUTAR]))</f>
        <v/>
      </c>
    </row>
    <row r="59" spans="2:10" ht="16.5" thickTop="1" thickBot="1" x14ac:dyDescent="0.3">
      <c r="B59" s="22" t="str">
        <f>IF(ISBLANK(C59),"",SUBTOTAL(3, $C$3:C59))</f>
        <v/>
      </c>
      <c r="C59" s="36"/>
      <c r="D59" s="23"/>
      <c r="E59" s="24"/>
      <c r="F59" s="24"/>
      <c r="G59" s="27" t="str">
        <f>IF(ISBLANK(Etiket[[#This Row],[ÖLÇÜSÜ]]),"",Etiket[[#This Row],[ADET]]*Etiket[[#This Row],[ÖLÇÜSÜ]]*2/100)</f>
        <v/>
      </c>
      <c r="H59" s="25" t="str">
        <f>IF(ISBLANK(Etiket[[#This Row],[ÖLÇÜSÜ]]),"",45)</f>
        <v/>
      </c>
      <c r="I59" s="25" t="str">
        <f>IF(ISBLANK(Etiket[[#This Row],[ÖLÇÜSÜ]]),"",G59*H59)</f>
        <v/>
      </c>
      <c r="J59" s="26" t="str">
        <f>IF(ISBLANK(Etiket[[#This Row],[ÖLÇÜSÜ]]),"",SUMIF(Etiket[Adı Soyadı],Etiket[[#This Row],[Adı Soyadı]],Etiket[TUTAR]))</f>
        <v/>
      </c>
    </row>
    <row r="60" spans="2:10" ht="16.5" thickTop="1" thickBot="1" x14ac:dyDescent="0.3">
      <c r="B60" s="22" t="str">
        <f>IF(ISBLANK(C60),"",SUBTOTAL(3, $C$3:C60))</f>
        <v/>
      </c>
      <c r="C60" s="36"/>
      <c r="D60" s="23"/>
      <c r="E60" s="24"/>
      <c r="F60" s="24"/>
      <c r="G60" s="27" t="str">
        <f>IF(ISBLANK(Etiket[[#This Row],[ÖLÇÜSÜ]]),"",Etiket[[#This Row],[ADET]]*Etiket[[#This Row],[ÖLÇÜSÜ]]*2/100)</f>
        <v/>
      </c>
      <c r="H60" s="25" t="str">
        <f>IF(ISBLANK(Etiket[[#This Row],[ÖLÇÜSÜ]]),"",45)</f>
        <v/>
      </c>
      <c r="I60" s="25" t="str">
        <f>IF(ISBLANK(Etiket[[#This Row],[ÖLÇÜSÜ]]),"",G60*H60)</f>
        <v/>
      </c>
      <c r="J60" s="26" t="str">
        <f>IF(ISBLANK(Etiket[[#This Row],[ÖLÇÜSÜ]]),"",SUMIF(Etiket[Adı Soyadı],Etiket[[#This Row],[Adı Soyadı]],Etiket[TUTAR]))</f>
        <v/>
      </c>
    </row>
    <row r="61" spans="2:10" ht="16.5" thickTop="1" thickBot="1" x14ac:dyDescent="0.3">
      <c r="B61" s="22" t="str">
        <f>IF(ISBLANK(C61),"",SUBTOTAL(3, $C$3:C61))</f>
        <v/>
      </c>
      <c r="C61" s="36"/>
      <c r="D61" s="23"/>
      <c r="E61" s="24"/>
      <c r="F61" s="24"/>
      <c r="G61" s="27" t="str">
        <f>IF(ISBLANK(Etiket[[#This Row],[ÖLÇÜSÜ]]),"",Etiket[[#This Row],[ADET]]*Etiket[[#This Row],[ÖLÇÜSÜ]]*2/100)</f>
        <v/>
      </c>
      <c r="H61" s="25" t="str">
        <f>IF(ISBLANK(Etiket[[#This Row],[ÖLÇÜSÜ]]),"",45)</f>
        <v/>
      </c>
      <c r="I61" s="25" t="str">
        <f>IF(ISBLANK(Etiket[[#This Row],[ÖLÇÜSÜ]]),"",G61*H61)</f>
        <v/>
      </c>
      <c r="J61" s="26" t="str">
        <f>IF(ISBLANK(Etiket[[#This Row],[ÖLÇÜSÜ]]),"",SUMIF(Etiket[Adı Soyadı],Etiket[[#This Row],[Adı Soyadı]],Etiket[TUTAR]))</f>
        <v/>
      </c>
    </row>
    <row r="62" spans="2:10" ht="16.5" thickTop="1" thickBot="1" x14ac:dyDescent="0.3">
      <c r="B62" s="22" t="str">
        <f>IF(ISBLANK(C62),"",SUBTOTAL(3, $C$3:C62))</f>
        <v/>
      </c>
      <c r="C62" s="36"/>
      <c r="D62" s="23"/>
      <c r="E62" s="24"/>
      <c r="F62" s="24"/>
      <c r="G62" s="27" t="str">
        <f>IF(ISBLANK(Etiket[[#This Row],[ÖLÇÜSÜ]]),"",Etiket[[#This Row],[ADET]]*Etiket[[#This Row],[ÖLÇÜSÜ]]*2/100)</f>
        <v/>
      </c>
      <c r="H62" s="25" t="str">
        <f>IF(ISBLANK(Etiket[[#This Row],[ÖLÇÜSÜ]]),"",45)</f>
        <v/>
      </c>
      <c r="I62" s="25" t="str">
        <f>IF(ISBLANK(Etiket[[#This Row],[ÖLÇÜSÜ]]),"",G62*H62)</f>
        <v/>
      </c>
      <c r="J62" s="26" t="str">
        <f>IF(ISBLANK(Etiket[[#This Row],[ÖLÇÜSÜ]]),"",SUMIF(Etiket[Adı Soyadı],Etiket[[#This Row],[Adı Soyadı]],Etiket[TUTAR]))</f>
        <v/>
      </c>
    </row>
    <row r="63" spans="2:10" ht="16.5" thickTop="1" thickBot="1" x14ac:dyDescent="0.3">
      <c r="B63" s="22" t="str">
        <f>IF(ISBLANK(C63),"",SUBTOTAL(3, $C$3:C63))</f>
        <v/>
      </c>
      <c r="C63" s="36"/>
      <c r="D63" s="23"/>
      <c r="E63" s="24"/>
      <c r="F63" s="24"/>
      <c r="G63" s="27" t="str">
        <f>IF(ISBLANK(Etiket[[#This Row],[ÖLÇÜSÜ]]),"",Etiket[[#This Row],[ADET]]*Etiket[[#This Row],[ÖLÇÜSÜ]]*2/100)</f>
        <v/>
      </c>
      <c r="H63" s="25" t="str">
        <f>IF(ISBLANK(Etiket[[#This Row],[ÖLÇÜSÜ]]),"",45)</f>
        <v/>
      </c>
      <c r="I63" s="25" t="str">
        <f>IF(ISBLANK(Etiket[[#This Row],[ÖLÇÜSÜ]]),"",G63*H63)</f>
        <v/>
      </c>
      <c r="J63" s="26" t="str">
        <f>IF(ISBLANK(Etiket[[#This Row],[ÖLÇÜSÜ]]),"",SUMIF(Etiket[Adı Soyadı],Etiket[[#This Row],[Adı Soyadı]],Etiket[TUTAR]))</f>
        <v/>
      </c>
    </row>
    <row r="64" spans="2:10" ht="16.5" thickTop="1" thickBot="1" x14ac:dyDescent="0.3">
      <c r="B64" s="22" t="str">
        <f>IF(ISBLANK(C64),"",SUBTOTAL(3, $C$3:C64))</f>
        <v/>
      </c>
      <c r="C64" s="36"/>
      <c r="D64" s="23"/>
      <c r="E64" s="24"/>
      <c r="F64" s="24"/>
      <c r="G64" s="27" t="str">
        <f>IF(ISBLANK(Etiket[[#This Row],[ÖLÇÜSÜ]]),"",Etiket[[#This Row],[ADET]]*Etiket[[#This Row],[ÖLÇÜSÜ]]*2/100)</f>
        <v/>
      </c>
      <c r="H64" s="25" t="str">
        <f>IF(ISBLANK(Etiket[[#This Row],[ÖLÇÜSÜ]]),"",45)</f>
        <v/>
      </c>
      <c r="I64" s="25" t="str">
        <f>IF(ISBLANK(Etiket[[#This Row],[ÖLÇÜSÜ]]),"",G64*H64)</f>
        <v/>
      </c>
      <c r="J64" s="26" t="str">
        <f>IF(ISBLANK(Etiket[[#This Row],[ÖLÇÜSÜ]]),"",SUMIF(Etiket[Adı Soyadı],Etiket[[#This Row],[Adı Soyadı]],Etiket[TUTAR]))</f>
        <v/>
      </c>
    </row>
    <row r="65" spans="2:10" ht="16.5" thickTop="1" thickBot="1" x14ac:dyDescent="0.3">
      <c r="B65" s="22" t="str">
        <f>IF(ISBLANK(C65),"",SUBTOTAL(3, $C$3:C65))</f>
        <v/>
      </c>
      <c r="C65" s="36"/>
      <c r="D65" s="23"/>
      <c r="E65" s="24"/>
      <c r="F65" s="24"/>
      <c r="G65" s="27" t="str">
        <f>IF(ISBLANK(Etiket[[#This Row],[ÖLÇÜSÜ]]),"",Etiket[[#This Row],[ADET]]*Etiket[[#This Row],[ÖLÇÜSÜ]]*2/100)</f>
        <v/>
      </c>
      <c r="H65" s="25" t="str">
        <f>IF(ISBLANK(Etiket[[#This Row],[ÖLÇÜSÜ]]),"",45)</f>
        <v/>
      </c>
      <c r="I65" s="25" t="str">
        <f>IF(ISBLANK(Etiket[[#This Row],[ÖLÇÜSÜ]]),"",G65*H65)</f>
        <v/>
      </c>
      <c r="J65" s="26" t="str">
        <f>IF(ISBLANK(Etiket[[#This Row],[ÖLÇÜSÜ]]),"",SUMIF(Etiket[Adı Soyadı],Etiket[[#This Row],[Adı Soyadı]],Etiket[TUTAR]))</f>
        <v/>
      </c>
    </row>
    <row r="66" spans="2:10" ht="16.5" thickTop="1" thickBot="1" x14ac:dyDescent="0.3">
      <c r="B66" s="22" t="str">
        <f>IF(ISBLANK(C66),"",SUBTOTAL(3, $C$3:C66))</f>
        <v/>
      </c>
      <c r="C66" s="36"/>
      <c r="D66" s="23"/>
      <c r="E66" s="24"/>
      <c r="F66" s="24"/>
      <c r="G66" s="27" t="str">
        <f>IF(ISBLANK(Etiket[[#This Row],[ÖLÇÜSÜ]]),"",Etiket[[#This Row],[ADET]]*Etiket[[#This Row],[ÖLÇÜSÜ]]*2/100)</f>
        <v/>
      </c>
      <c r="H66" s="25" t="str">
        <f>IF(ISBLANK(Etiket[[#This Row],[ÖLÇÜSÜ]]),"",45)</f>
        <v/>
      </c>
      <c r="I66" s="25" t="str">
        <f>IF(ISBLANK(Etiket[[#This Row],[ÖLÇÜSÜ]]),"",G66*H66)</f>
        <v/>
      </c>
      <c r="J66" s="26" t="str">
        <f>IF(ISBLANK(Etiket[[#This Row],[ÖLÇÜSÜ]]),"",SUMIF(Etiket[Adı Soyadı],Etiket[[#This Row],[Adı Soyadı]],Etiket[TUTAR]))</f>
        <v/>
      </c>
    </row>
    <row r="67" spans="2:10" ht="16.5" thickTop="1" thickBot="1" x14ac:dyDescent="0.3">
      <c r="B67" s="22" t="str">
        <f>IF(ISBLANK(C67),"",SUBTOTAL(3, $C$3:C67))</f>
        <v/>
      </c>
      <c r="C67" s="36"/>
      <c r="D67" s="23"/>
      <c r="E67" s="24"/>
      <c r="F67" s="24"/>
      <c r="G67" s="27" t="str">
        <f>IF(ISBLANK(Etiket[[#This Row],[ÖLÇÜSÜ]]),"",Etiket[[#This Row],[ADET]]*Etiket[[#This Row],[ÖLÇÜSÜ]]*2/100)</f>
        <v/>
      </c>
      <c r="H67" s="25" t="str">
        <f>IF(ISBLANK(Etiket[[#This Row],[ÖLÇÜSÜ]]),"",45)</f>
        <v/>
      </c>
      <c r="I67" s="25" t="str">
        <f>IF(ISBLANK(Etiket[[#This Row],[ÖLÇÜSÜ]]),"",G67*H67)</f>
        <v/>
      </c>
      <c r="J67" s="26" t="str">
        <f>IF(ISBLANK(Etiket[[#This Row],[ÖLÇÜSÜ]]),"",SUMIF(Etiket[Adı Soyadı],Etiket[[#This Row],[Adı Soyadı]],Etiket[TUTAR]))</f>
        <v/>
      </c>
    </row>
    <row r="68" spans="2:10" ht="16.5" thickTop="1" thickBot="1" x14ac:dyDescent="0.3">
      <c r="B68" s="22" t="str">
        <f>IF(ISBLANK(C68),"",SUBTOTAL(3, $C$3:C68))</f>
        <v/>
      </c>
      <c r="C68" s="36"/>
      <c r="D68" s="23"/>
      <c r="E68" s="24"/>
      <c r="F68" s="24"/>
      <c r="G68" s="27" t="str">
        <f>IF(ISBLANK(Etiket[[#This Row],[ÖLÇÜSÜ]]),"",Etiket[[#This Row],[ADET]]*Etiket[[#This Row],[ÖLÇÜSÜ]]*2/100)</f>
        <v/>
      </c>
      <c r="H68" s="25" t="str">
        <f>IF(ISBLANK(Etiket[[#This Row],[ÖLÇÜSÜ]]),"",45)</f>
        <v/>
      </c>
      <c r="I68" s="25" t="str">
        <f>IF(ISBLANK(Etiket[[#This Row],[ÖLÇÜSÜ]]),"",G68*H68)</f>
        <v/>
      </c>
      <c r="J68" s="26" t="str">
        <f>IF(ISBLANK(Etiket[[#This Row],[ÖLÇÜSÜ]]),"",SUMIF(Etiket[Adı Soyadı],Etiket[[#This Row],[Adı Soyadı]],Etiket[TUTAR]))</f>
        <v/>
      </c>
    </row>
    <row r="69" spans="2:10" ht="16.5" thickTop="1" thickBot="1" x14ac:dyDescent="0.3">
      <c r="B69" s="22" t="str">
        <f>IF(ISBLANK(C69),"",SUBTOTAL(3, $C$3:C69))</f>
        <v/>
      </c>
      <c r="C69" s="36"/>
      <c r="D69" s="23"/>
      <c r="E69" s="24"/>
      <c r="F69" s="24"/>
      <c r="G69" s="27" t="str">
        <f>IF(ISBLANK(Etiket[[#This Row],[ÖLÇÜSÜ]]),"",Etiket[[#This Row],[ADET]]*Etiket[[#This Row],[ÖLÇÜSÜ]]*2/100)</f>
        <v/>
      </c>
      <c r="H69" s="25" t="str">
        <f>IF(ISBLANK(Etiket[[#This Row],[ÖLÇÜSÜ]]),"",45)</f>
        <v/>
      </c>
      <c r="I69" s="25" t="str">
        <f>IF(ISBLANK(Etiket[[#This Row],[ÖLÇÜSÜ]]),"",G69*H69)</f>
        <v/>
      </c>
      <c r="J69" s="26" t="str">
        <f>IF(ISBLANK(Etiket[[#This Row],[ÖLÇÜSÜ]]),"",SUMIF(Etiket[Adı Soyadı],Etiket[[#This Row],[Adı Soyadı]],Etiket[TUTAR]))</f>
        <v/>
      </c>
    </row>
    <row r="70" spans="2:10" ht="16.5" thickTop="1" thickBot="1" x14ac:dyDescent="0.3">
      <c r="B70" s="22" t="str">
        <f>IF(ISBLANK(C70),"",SUBTOTAL(3, $C$3:C70))</f>
        <v/>
      </c>
      <c r="C70" s="36"/>
      <c r="D70" s="23"/>
      <c r="E70" s="24"/>
      <c r="F70" s="24"/>
      <c r="G70" s="27" t="str">
        <f>IF(ISBLANK(Etiket[[#This Row],[ÖLÇÜSÜ]]),"",Etiket[[#This Row],[ADET]]*Etiket[[#This Row],[ÖLÇÜSÜ]]*2/100)</f>
        <v/>
      </c>
      <c r="H70" s="25" t="str">
        <f>IF(ISBLANK(Etiket[[#This Row],[ÖLÇÜSÜ]]),"",45)</f>
        <v/>
      </c>
      <c r="I70" s="25" t="str">
        <f>IF(ISBLANK(Etiket[[#This Row],[ÖLÇÜSÜ]]),"",G70*H70)</f>
        <v/>
      </c>
      <c r="J70" s="26" t="str">
        <f>IF(ISBLANK(Etiket[[#This Row],[ÖLÇÜSÜ]]),"",SUMIF(Etiket[Adı Soyadı],Etiket[[#This Row],[Adı Soyadı]],Etiket[TUTAR]))</f>
        <v/>
      </c>
    </row>
    <row r="71" spans="2:10" ht="16.5" thickTop="1" thickBot="1" x14ac:dyDescent="0.3">
      <c r="B71" s="22" t="str">
        <f>IF(ISBLANK(C71),"",SUBTOTAL(3, $C$3:C71))</f>
        <v/>
      </c>
      <c r="C71" s="36"/>
      <c r="D71" s="23"/>
      <c r="E71" s="24"/>
      <c r="F71" s="24"/>
      <c r="G71" s="27" t="str">
        <f>IF(ISBLANK(Etiket[[#This Row],[ÖLÇÜSÜ]]),"",Etiket[[#This Row],[ADET]]*Etiket[[#This Row],[ÖLÇÜSÜ]]*2/100)</f>
        <v/>
      </c>
      <c r="H71" s="25" t="str">
        <f>IF(ISBLANK(Etiket[[#This Row],[ÖLÇÜSÜ]]),"",45)</f>
        <v/>
      </c>
      <c r="I71" s="25" t="str">
        <f>IF(ISBLANK(Etiket[[#This Row],[ÖLÇÜSÜ]]),"",G71*H71)</f>
        <v/>
      </c>
      <c r="J71" s="26" t="str">
        <f>IF(ISBLANK(Etiket[[#This Row],[ÖLÇÜSÜ]]),"",SUMIF(Etiket[Adı Soyadı],Etiket[[#This Row],[Adı Soyadı]],Etiket[TUTAR]))</f>
        <v/>
      </c>
    </row>
    <row r="72" spans="2:10" ht="16.5" thickTop="1" thickBot="1" x14ac:dyDescent="0.3">
      <c r="B72" s="22" t="str">
        <f>IF(ISBLANK(C72),"",SUBTOTAL(3, $C$3:C72))</f>
        <v/>
      </c>
      <c r="C72" s="36"/>
      <c r="D72" s="23"/>
      <c r="E72" s="24"/>
      <c r="F72" s="24"/>
      <c r="G72" s="27" t="str">
        <f>IF(ISBLANK(Etiket[[#This Row],[ÖLÇÜSÜ]]),"",Etiket[[#This Row],[ADET]]*Etiket[[#This Row],[ÖLÇÜSÜ]]*2/100)</f>
        <v/>
      </c>
      <c r="H72" s="25" t="str">
        <f>IF(ISBLANK(Etiket[[#This Row],[ÖLÇÜSÜ]]),"",45)</f>
        <v/>
      </c>
      <c r="I72" s="25" t="str">
        <f>IF(ISBLANK(Etiket[[#This Row],[ÖLÇÜSÜ]]),"",G72*H72)</f>
        <v/>
      </c>
      <c r="J72" s="26" t="str">
        <f>IF(ISBLANK(Etiket[[#This Row],[ÖLÇÜSÜ]]),"",SUMIF(Etiket[Adı Soyadı],Etiket[[#This Row],[Adı Soyadı]],Etiket[TUTAR]))</f>
        <v/>
      </c>
    </row>
    <row r="73" spans="2:10" ht="16.5" thickTop="1" thickBot="1" x14ac:dyDescent="0.3">
      <c r="B73" s="22" t="str">
        <f>IF(ISBLANK(C73),"",SUBTOTAL(3, $C$3:C73))</f>
        <v/>
      </c>
      <c r="C73" s="36"/>
      <c r="D73" s="23"/>
      <c r="E73" s="24"/>
      <c r="F73" s="24"/>
      <c r="G73" s="27" t="str">
        <f>IF(ISBLANK(Etiket[[#This Row],[ÖLÇÜSÜ]]),"",Etiket[[#This Row],[ADET]]*Etiket[[#This Row],[ÖLÇÜSÜ]]*2/100)</f>
        <v/>
      </c>
      <c r="H73" s="25" t="str">
        <f>IF(ISBLANK(Etiket[[#This Row],[ÖLÇÜSÜ]]),"",45)</f>
        <v/>
      </c>
      <c r="I73" s="25" t="str">
        <f>IF(ISBLANK(Etiket[[#This Row],[ÖLÇÜSÜ]]),"",G73*H73)</f>
        <v/>
      </c>
      <c r="J73" s="26" t="str">
        <f>IF(ISBLANK(Etiket[[#This Row],[ÖLÇÜSÜ]]),"",SUMIF(Etiket[Adı Soyadı],Etiket[[#This Row],[Adı Soyadı]],Etiket[TUTAR]))</f>
        <v/>
      </c>
    </row>
    <row r="74" spans="2:10" ht="16.5" thickTop="1" thickBot="1" x14ac:dyDescent="0.3">
      <c r="B74" s="22" t="str">
        <f>IF(ISBLANK(C74),"",SUBTOTAL(3, $C$3:C74))</f>
        <v/>
      </c>
      <c r="C74" s="36"/>
      <c r="D74" s="23"/>
      <c r="E74" s="24"/>
      <c r="F74" s="24"/>
      <c r="G74" s="27" t="str">
        <f>IF(ISBLANK(Etiket[[#This Row],[ÖLÇÜSÜ]]),"",Etiket[[#This Row],[ADET]]*Etiket[[#This Row],[ÖLÇÜSÜ]]*2/100)</f>
        <v/>
      </c>
      <c r="H74" s="25" t="str">
        <f>IF(ISBLANK(Etiket[[#This Row],[ÖLÇÜSÜ]]),"",45)</f>
        <v/>
      </c>
      <c r="I74" s="25" t="str">
        <f>IF(ISBLANK(Etiket[[#This Row],[ÖLÇÜSÜ]]),"",G74*H74)</f>
        <v/>
      </c>
      <c r="J74" s="26" t="str">
        <f>IF(ISBLANK(Etiket[[#This Row],[ÖLÇÜSÜ]]),"",SUMIF(Etiket[Adı Soyadı],Etiket[[#This Row],[Adı Soyadı]],Etiket[TUTAR]))</f>
        <v/>
      </c>
    </row>
    <row r="75" spans="2:10" ht="16.5" thickTop="1" thickBot="1" x14ac:dyDescent="0.3">
      <c r="B75" s="22" t="str">
        <f>IF(ISBLANK(C75),"",SUBTOTAL(3, $C$3:C75))</f>
        <v/>
      </c>
      <c r="C75" s="36"/>
      <c r="D75" s="23"/>
      <c r="E75" s="24"/>
      <c r="F75" s="24"/>
      <c r="G75" s="27" t="str">
        <f>IF(ISBLANK(Etiket[[#This Row],[ÖLÇÜSÜ]]),"",Etiket[[#This Row],[ADET]]*Etiket[[#This Row],[ÖLÇÜSÜ]]*2/100)</f>
        <v/>
      </c>
      <c r="H75" s="25" t="str">
        <f>IF(ISBLANK(Etiket[[#This Row],[ÖLÇÜSÜ]]),"",45)</f>
        <v/>
      </c>
      <c r="I75" s="25" t="str">
        <f>IF(ISBLANK(Etiket[[#This Row],[ÖLÇÜSÜ]]),"",G75*H75)</f>
        <v/>
      </c>
      <c r="J75" s="26" t="str">
        <f>IF(ISBLANK(Etiket[[#This Row],[ÖLÇÜSÜ]]),"",SUMIF(Etiket[Adı Soyadı],Etiket[[#This Row],[Adı Soyadı]],Etiket[TUTAR]))</f>
        <v/>
      </c>
    </row>
    <row r="76" spans="2:10" ht="16.5" thickTop="1" thickBot="1" x14ac:dyDescent="0.3">
      <c r="B76" s="22" t="str">
        <f>IF(ISBLANK(C76),"",SUBTOTAL(3, $C$3:C76))</f>
        <v/>
      </c>
      <c r="C76" s="36"/>
      <c r="D76" s="23"/>
      <c r="E76" s="24"/>
      <c r="F76" s="24"/>
      <c r="G76" s="27" t="str">
        <f>IF(ISBLANK(Etiket[[#This Row],[ÖLÇÜSÜ]]),"",Etiket[[#This Row],[ADET]]*Etiket[[#This Row],[ÖLÇÜSÜ]]*2/100)</f>
        <v/>
      </c>
      <c r="H76" s="25" t="str">
        <f>IF(ISBLANK(Etiket[[#This Row],[ÖLÇÜSÜ]]),"",45)</f>
        <v/>
      </c>
      <c r="I76" s="25" t="str">
        <f>IF(ISBLANK(Etiket[[#This Row],[ÖLÇÜSÜ]]),"",G76*H76)</f>
        <v/>
      </c>
      <c r="J76" s="26" t="str">
        <f>IF(ISBLANK(Etiket[[#This Row],[ÖLÇÜSÜ]]),"",SUMIF(Etiket[Adı Soyadı],Etiket[[#This Row],[Adı Soyadı]],Etiket[TUTAR]))</f>
        <v/>
      </c>
    </row>
    <row r="77" spans="2:10" ht="16.5" thickTop="1" thickBot="1" x14ac:dyDescent="0.3">
      <c r="B77" s="22" t="str">
        <f>IF(ISBLANK(C77),"",SUBTOTAL(3, $C$3:C77))</f>
        <v/>
      </c>
      <c r="C77" s="36"/>
      <c r="D77" s="23"/>
      <c r="E77" s="24"/>
      <c r="F77" s="24"/>
      <c r="G77" s="27" t="str">
        <f>IF(ISBLANK(Etiket[[#This Row],[ÖLÇÜSÜ]]),"",Etiket[[#This Row],[ADET]]*Etiket[[#This Row],[ÖLÇÜSÜ]]*2/100)</f>
        <v/>
      </c>
      <c r="H77" s="25" t="str">
        <f>IF(ISBLANK(Etiket[[#This Row],[ÖLÇÜSÜ]]),"",45)</f>
        <v/>
      </c>
      <c r="I77" s="25" t="str">
        <f>IF(ISBLANK(Etiket[[#This Row],[ÖLÇÜSÜ]]),"",G77*H77)</f>
        <v/>
      </c>
      <c r="J77" s="26" t="str">
        <f>IF(ISBLANK(Etiket[[#This Row],[ÖLÇÜSÜ]]),"",SUMIF(Etiket[Adı Soyadı],Etiket[[#This Row],[Adı Soyadı]],Etiket[TUTAR]))</f>
        <v/>
      </c>
    </row>
    <row r="78" spans="2:10" ht="16.5" thickTop="1" thickBot="1" x14ac:dyDescent="0.3">
      <c r="B78" s="22" t="str">
        <f>IF(ISBLANK(C78),"",SUBTOTAL(3, $C$3:C78))</f>
        <v/>
      </c>
      <c r="C78" s="36"/>
      <c r="D78" s="23"/>
      <c r="E78" s="24"/>
      <c r="F78" s="24"/>
      <c r="G78" s="27" t="str">
        <f>IF(ISBLANK(Etiket[[#This Row],[ÖLÇÜSÜ]]),"",Etiket[[#This Row],[ADET]]*Etiket[[#This Row],[ÖLÇÜSÜ]]*2/100)</f>
        <v/>
      </c>
      <c r="H78" s="25" t="str">
        <f>IF(ISBLANK(Etiket[[#This Row],[ÖLÇÜSÜ]]),"",45)</f>
        <v/>
      </c>
      <c r="I78" s="25" t="str">
        <f>IF(ISBLANK(Etiket[[#This Row],[ÖLÇÜSÜ]]),"",G78*H78)</f>
        <v/>
      </c>
      <c r="J78" s="26" t="str">
        <f>IF(ISBLANK(Etiket[[#This Row],[ÖLÇÜSÜ]]),"",SUMIF(Etiket[Adı Soyadı],Etiket[[#This Row],[Adı Soyadı]],Etiket[TUTAR]))</f>
        <v/>
      </c>
    </row>
    <row r="79" spans="2:10" ht="16.5" thickTop="1" thickBot="1" x14ac:dyDescent="0.3">
      <c r="B79" s="22" t="str">
        <f>IF(ISBLANK(C79),"",SUBTOTAL(3, $C$3:C79))</f>
        <v/>
      </c>
      <c r="C79" s="36"/>
      <c r="D79" s="23"/>
      <c r="E79" s="24"/>
      <c r="F79" s="24"/>
      <c r="G79" s="27" t="str">
        <f>IF(ISBLANK(Etiket[[#This Row],[ÖLÇÜSÜ]]),"",Etiket[[#This Row],[ADET]]*Etiket[[#This Row],[ÖLÇÜSÜ]]*2/100)</f>
        <v/>
      </c>
      <c r="H79" s="25" t="str">
        <f>IF(ISBLANK(Etiket[[#This Row],[ÖLÇÜSÜ]]),"",45)</f>
        <v/>
      </c>
      <c r="I79" s="25" t="str">
        <f>IF(ISBLANK(Etiket[[#This Row],[ÖLÇÜSÜ]]),"",G79*H79)</f>
        <v/>
      </c>
      <c r="J79" s="26" t="str">
        <f>IF(ISBLANK(Etiket[[#This Row],[ÖLÇÜSÜ]]),"",SUMIF(Etiket[Adı Soyadı],Etiket[[#This Row],[Adı Soyadı]],Etiket[TUTAR]))</f>
        <v/>
      </c>
    </row>
    <row r="80" spans="2:10" ht="16.5" thickTop="1" thickBot="1" x14ac:dyDescent="0.3">
      <c r="B80" s="22" t="str">
        <f>IF(ISBLANK(C80),"",SUBTOTAL(3, $C$3:C80))</f>
        <v/>
      </c>
      <c r="C80" s="36"/>
      <c r="D80" s="23"/>
      <c r="E80" s="24"/>
      <c r="F80" s="24"/>
      <c r="G80" s="27" t="str">
        <f>IF(ISBLANK(Etiket[[#This Row],[ÖLÇÜSÜ]]),"",Etiket[[#This Row],[ADET]]*Etiket[[#This Row],[ÖLÇÜSÜ]]*2/100)</f>
        <v/>
      </c>
      <c r="H80" s="25" t="str">
        <f>IF(ISBLANK(Etiket[[#This Row],[ÖLÇÜSÜ]]),"",45)</f>
        <v/>
      </c>
      <c r="I80" s="25" t="str">
        <f>IF(ISBLANK(Etiket[[#This Row],[ÖLÇÜSÜ]]),"",G80*H80)</f>
        <v/>
      </c>
      <c r="J80" s="26" t="str">
        <f>IF(ISBLANK(Etiket[[#This Row],[ÖLÇÜSÜ]]),"",SUMIF(Etiket[Adı Soyadı],Etiket[[#This Row],[Adı Soyadı]],Etiket[TUTAR]))</f>
        <v/>
      </c>
    </row>
    <row r="81" spans="2:10" ht="16.5" thickTop="1" thickBot="1" x14ac:dyDescent="0.3">
      <c r="B81" s="22" t="str">
        <f>IF(ISBLANK(C81),"",SUBTOTAL(3, $C$3:C81))</f>
        <v/>
      </c>
      <c r="C81" s="36"/>
      <c r="D81" s="23"/>
      <c r="E81" s="24"/>
      <c r="F81" s="24"/>
      <c r="G81" s="27" t="str">
        <f>IF(ISBLANK(Etiket[[#This Row],[ÖLÇÜSÜ]]),"",Etiket[[#This Row],[ADET]]*Etiket[[#This Row],[ÖLÇÜSÜ]]*2/100)</f>
        <v/>
      </c>
      <c r="H81" s="25" t="str">
        <f>IF(ISBLANK(Etiket[[#This Row],[ÖLÇÜSÜ]]),"",45)</f>
        <v/>
      </c>
      <c r="I81" s="25" t="str">
        <f>IF(ISBLANK(Etiket[[#This Row],[ÖLÇÜSÜ]]),"",G81*H81)</f>
        <v/>
      </c>
      <c r="J81" s="26" t="str">
        <f>IF(ISBLANK(Etiket[[#This Row],[ÖLÇÜSÜ]]),"",SUMIF(Etiket[Adı Soyadı],Etiket[[#This Row],[Adı Soyadı]],Etiket[TUTAR]))</f>
        <v/>
      </c>
    </row>
    <row r="82" spans="2:10" ht="16.5" thickTop="1" thickBot="1" x14ac:dyDescent="0.3">
      <c r="B82" s="22" t="str">
        <f>IF(ISBLANK(C82),"",SUBTOTAL(3, $C$3:C82))</f>
        <v/>
      </c>
      <c r="C82" s="36"/>
      <c r="D82" s="23"/>
      <c r="E82" s="24"/>
      <c r="F82" s="24"/>
      <c r="G82" s="27" t="str">
        <f>IF(ISBLANK(Etiket[[#This Row],[ÖLÇÜSÜ]]),"",Etiket[[#This Row],[ADET]]*Etiket[[#This Row],[ÖLÇÜSÜ]]*2/100)</f>
        <v/>
      </c>
      <c r="H82" s="25" t="str">
        <f>IF(ISBLANK(Etiket[[#This Row],[ÖLÇÜSÜ]]),"",45)</f>
        <v/>
      </c>
      <c r="I82" s="25" t="str">
        <f>IF(ISBLANK(Etiket[[#This Row],[ÖLÇÜSÜ]]),"",G82*H82)</f>
        <v/>
      </c>
      <c r="J82" s="26" t="str">
        <f>IF(ISBLANK(Etiket[[#This Row],[ÖLÇÜSÜ]]),"",SUMIF(Etiket[Adı Soyadı],Etiket[[#This Row],[Adı Soyadı]],Etiket[TUTAR]))</f>
        <v/>
      </c>
    </row>
    <row r="83" spans="2:10" ht="16.5" thickTop="1" thickBot="1" x14ac:dyDescent="0.3">
      <c r="B83" s="22" t="str">
        <f>IF(ISBLANK(C83),"",SUBTOTAL(3, $C$3:C83))</f>
        <v/>
      </c>
      <c r="C83" s="36"/>
      <c r="D83" s="23"/>
      <c r="E83" s="24"/>
      <c r="F83" s="24"/>
      <c r="G83" s="27" t="str">
        <f>IF(ISBLANK(Etiket[[#This Row],[ÖLÇÜSÜ]]),"",Etiket[[#This Row],[ADET]]*Etiket[[#This Row],[ÖLÇÜSÜ]]*2/100)</f>
        <v/>
      </c>
      <c r="H83" s="25" t="str">
        <f>IF(ISBLANK(Etiket[[#This Row],[ÖLÇÜSÜ]]),"",45)</f>
        <v/>
      </c>
      <c r="I83" s="25" t="str">
        <f>IF(ISBLANK(Etiket[[#This Row],[ÖLÇÜSÜ]]),"",G83*H83)</f>
        <v/>
      </c>
      <c r="J83" s="26" t="str">
        <f>IF(ISBLANK(Etiket[[#This Row],[ÖLÇÜSÜ]]),"",SUMIF(Etiket[Adı Soyadı],Etiket[[#This Row],[Adı Soyadı]],Etiket[TUTAR]))</f>
        <v/>
      </c>
    </row>
    <row r="84" spans="2:10" ht="16.5" thickTop="1" thickBot="1" x14ac:dyDescent="0.3">
      <c r="B84" s="22" t="str">
        <f>IF(ISBLANK(C84),"",SUBTOTAL(3, $C$3:C84))</f>
        <v/>
      </c>
      <c r="C84" s="36"/>
      <c r="D84" s="23"/>
      <c r="E84" s="24"/>
      <c r="F84" s="24"/>
      <c r="G84" s="27" t="str">
        <f>IF(ISBLANK(Etiket[[#This Row],[ÖLÇÜSÜ]]),"",Etiket[[#This Row],[ADET]]*Etiket[[#This Row],[ÖLÇÜSÜ]]*2/100)</f>
        <v/>
      </c>
      <c r="H84" s="25" t="str">
        <f>IF(ISBLANK(Etiket[[#This Row],[ÖLÇÜSÜ]]),"",45)</f>
        <v/>
      </c>
      <c r="I84" s="25" t="str">
        <f>IF(ISBLANK(Etiket[[#This Row],[ÖLÇÜSÜ]]),"",G84*H84)</f>
        <v/>
      </c>
      <c r="J84" s="26" t="str">
        <f>IF(ISBLANK(Etiket[[#This Row],[ÖLÇÜSÜ]]),"",SUMIF(Etiket[Adı Soyadı],Etiket[[#This Row],[Adı Soyadı]],Etiket[TUTAR]))</f>
        <v/>
      </c>
    </row>
    <row r="85" spans="2:10" ht="16.5" thickTop="1" thickBot="1" x14ac:dyDescent="0.3">
      <c r="B85" s="22" t="str">
        <f>IF(ISBLANK(C85),"",SUBTOTAL(3, $C$3:C85))</f>
        <v/>
      </c>
      <c r="C85" s="36"/>
      <c r="D85" s="23"/>
      <c r="E85" s="24"/>
      <c r="F85" s="24"/>
      <c r="G85" s="27" t="str">
        <f>IF(ISBLANK(Etiket[[#This Row],[ÖLÇÜSÜ]]),"",Etiket[[#This Row],[ADET]]*Etiket[[#This Row],[ÖLÇÜSÜ]]*2/100)</f>
        <v/>
      </c>
      <c r="H85" s="25" t="str">
        <f>IF(ISBLANK(Etiket[[#This Row],[ÖLÇÜSÜ]]),"",45)</f>
        <v/>
      </c>
      <c r="I85" s="25" t="str">
        <f>IF(ISBLANK(Etiket[[#This Row],[ÖLÇÜSÜ]]),"",G85*H85)</f>
        <v/>
      </c>
      <c r="J85" s="26" t="str">
        <f>IF(ISBLANK(Etiket[[#This Row],[ÖLÇÜSÜ]]),"",SUMIF(Etiket[Adı Soyadı],Etiket[[#This Row],[Adı Soyadı]],Etiket[TUTAR]))</f>
        <v/>
      </c>
    </row>
    <row r="86" spans="2:10" ht="16.5" thickTop="1" thickBot="1" x14ac:dyDescent="0.3">
      <c r="B86" s="22" t="str">
        <f>IF(ISBLANK(C86),"",SUBTOTAL(3, $C$3:C86))</f>
        <v/>
      </c>
      <c r="C86" s="36"/>
      <c r="D86" s="23"/>
      <c r="E86" s="24"/>
      <c r="F86" s="24"/>
      <c r="G86" s="27" t="str">
        <f>IF(ISBLANK(Etiket[[#This Row],[ÖLÇÜSÜ]]),"",Etiket[[#This Row],[ADET]]*Etiket[[#This Row],[ÖLÇÜSÜ]]*2/100)</f>
        <v/>
      </c>
      <c r="H86" s="25" t="str">
        <f>IF(ISBLANK(Etiket[[#This Row],[ÖLÇÜSÜ]]),"",45)</f>
        <v/>
      </c>
      <c r="I86" s="25" t="str">
        <f>IF(ISBLANK(Etiket[[#This Row],[ÖLÇÜSÜ]]),"",G86*H86)</f>
        <v/>
      </c>
      <c r="J86" s="26" t="str">
        <f>IF(ISBLANK(Etiket[[#This Row],[ÖLÇÜSÜ]]),"",SUMIF(Etiket[Adı Soyadı],Etiket[[#This Row],[Adı Soyadı]],Etiket[TUTAR]))</f>
        <v/>
      </c>
    </row>
    <row r="87" spans="2:10" ht="16.5" thickTop="1" thickBot="1" x14ac:dyDescent="0.3">
      <c r="B87" s="22" t="str">
        <f>IF(ISBLANK(C87),"",SUBTOTAL(3, $C$3:C87))</f>
        <v/>
      </c>
      <c r="C87" s="36"/>
      <c r="D87" s="23"/>
      <c r="E87" s="24"/>
      <c r="F87" s="24"/>
      <c r="G87" s="27" t="str">
        <f>IF(ISBLANK(Etiket[[#This Row],[ÖLÇÜSÜ]]),"",Etiket[[#This Row],[ADET]]*Etiket[[#This Row],[ÖLÇÜSÜ]]*2/100)</f>
        <v/>
      </c>
      <c r="H87" s="25" t="str">
        <f>IF(ISBLANK(Etiket[[#This Row],[ÖLÇÜSÜ]]),"",45)</f>
        <v/>
      </c>
      <c r="I87" s="25" t="str">
        <f>IF(ISBLANK(Etiket[[#This Row],[ÖLÇÜSÜ]]),"",G87*H87)</f>
        <v/>
      </c>
      <c r="J87" s="26" t="str">
        <f>IF(ISBLANK(Etiket[[#This Row],[ÖLÇÜSÜ]]),"",SUMIF(Etiket[Adı Soyadı],Etiket[[#This Row],[Adı Soyadı]],Etiket[TUTAR]))</f>
        <v/>
      </c>
    </row>
    <row r="88" spans="2:10" ht="16.5" thickTop="1" thickBot="1" x14ac:dyDescent="0.3">
      <c r="B88" s="22" t="str">
        <f>IF(ISBLANK(C88),"",SUBTOTAL(3, $C$3:C88))</f>
        <v/>
      </c>
      <c r="C88" s="36"/>
      <c r="D88" s="23"/>
      <c r="E88" s="24"/>
      <c r="F88" s="24"/>
      <c r="G88" s="27" t="str">
        <f>IF(ISBLANK(Etiket[[#This Row],[ÖLÇÜSÜ]]),"",Etiket[[#This Row],[ADET]]*Etiket[[#This Row],[ÖLÇÜSÜ]]*2/100)</f>
        <v/>
      </c>
      <c r="H88" s="25" t="str">
        <f>IF(ISBLANK(Etiket[[#This Row],[ÖLÇÜSÜ]]),"",45)</f>
        <v/>
      </c>
      <c r="I88" s="25" t="str">
        <f>IF(ISBLANK(Etiket[[#This Row],[ÖLÇÜSÜ]]),"",G88*H88)</f>
        <v/>
      </c>
      <c r="J88" s="26" t="str">
        <f>IF(ISBLANK(Etiket[[#This Row],[ÖLÇÜSÜ]]),"",SUMIF(Etiket[Adı Soyadı],Etiket[[#This Row],[Adı Soyadı]],Etiket[TUTAR]))</f>
        <v/>
      </c>
    </row>
    <row r="89" spans="2:10" ht="16.5" thickTop="1" thickBot="1" x14ac:dyDescent="0.3">
      <c r="B89" s="22" t="str">
        <f>IF(ISBLANK(C89),"",SUBTOTAL(3, $C$3:C89))</f>
        <v/>
      </c>
      <c r="C89" s="36"/>
      <c r="D89" s="23"/>
      <c r="E89" s="24"/>
      <c r="F89" s="24"/>
      <c r="G89" s="27" t="str">
        <f>IF(ISBLANK(Etiket[[#This Row],[ÖLÇÜSÜ]]),"",Etiket[[#This Row],[ADET]]*Etiket[[#This Row],[ÖLÇÜSÜ]]*2/100)</f>
        <v/>
      </c>
      <c r="H89" s="25" t="str">
        <f>IF(ISBLANK(Etiket[[#This Row],[ÖLÇÜSÜ]]),"",45)</f>
        <v/>
      </c>
      <c r="I89" s="25" t="str">
        <f>IF(ISBLANK(Etiket[[#This Row],[ÖLÇÜSÜ]]),"",G89*H89)</f>
        <v/>
      </c>
      <c r="J89" s="26" t="str">
        <f>IF(ISBLANK(Etiket[[#This Row],[ÖLÇÜSÜ]]),"",SUMIF(Etiket[Adı Soyadı],Etiket[[#This Row],[Adı Soyadı]],Etiket[TUTAR]))</f>
        <v/>
      </c>
    </row>
    <row r="90" spans="2:10" ht="16.5" thickTop="1" thickBot="1" x14ac:dyDescent="0.3">
      <c r="B90" s="22" t="str">
        <f>IF(ISBLANK(C90),"",SUBTOTAL(3, $C$3:C90))</f>
        <v/>
      </c>
      <c r="C90" s="36"/>
      <c r="D90" s="23"/>
      <c r="E90" s="24"/>
      <c r="F90" s="24"/>
      <c r="G90" s="27" t="str">
        <f>IF(ISBLANK(Etiket[[#This Row],[ÖLÇÜSÜ]]),"",Etiket[[#This Row],[ADET]]*Etiket[[#This Row],[ÖLÇÜSÜ]]*2/100)</f>
        <v/>
      </c>
      <c r="H90" s="25" t="str">
        <f>IF(ISBLANK(Etiket[[#This Row],[ÖLÇÜSÜ]]),"",45)</f>
        <v/>
      </c>
      <c r="I90" s="25" t="str">
        <f>IF(ISBLANK(Etiket[[#This Row],[ÖLÇÜSÜ]]),"",G90*H90)</f>
        <v/>
      </c>
      <c r="J90" s="26" t="str">
        <f>IF(ISBLANK(Etiket[[#This Row],[ÖLÇÜSÜ]]),"",SUMIF(Etiket[Adı Soyadı],Etiket[[#This Row],[Adı Soyadı]],Etiket[TUTAR]))</f>
        <v/>
      </c>
    </row>
    <row r="91" spans="2:10" ht="16.5" thickTop="1" thickBot="1" x14ac:dyDescent="0.3">
      <c r="B91" s="22" t="str">
        <f>IF(ISBLANK(C91),"",SUBTOTAL(3, $C$3:C91))</f>
        <v/>
      </c>
      <c r="C91" s="36"/>
      <c r="D91" s="23"/>
      <c r="E91" s="24"/>
      <c r="F91" s="24"/>
      <c r="G91" s="27" t="str">
        <f>IF(ISBLANK(Etiket[[#This Row],[ÖLÇÜSÜ]]),"",Etiket[[#This Row],[ADET]]*Etiket[[#This Row],[ÖLÇÜSÜ]]*2/100)</f>
        <v/>
      </c>
      <c r="H91" s="25" t="str">
        <f>IF(ISBLANK(Etiket[[#This Row],[ÖLÇÜSÜ]]),"",45)</f>
        <v/>
      </c>
      <c r="I91" s="25" t="str">
        <f>IF(ISBLANK(Etiket[[#This Row],[ÖLÇÜSÜ]]),"",G91*H91)</f>
        <v/>
      </c>
      <c r="J91" s="26" t="str">
        <f>IF(ISBLANK(Etiket[[#This Row],[ÖLÇÜSÜ]]),"",SUMIF(Etiket[Adı Soyadı],Etiket[[#This Row],[Adı Soyadı]],Etiket[TUTAR]))</f>
        <v/>
      </c>
    </row>
    <row r="92" spans="2:10" ht="16.5" thickTop="1" thickBot="1" x14ac:dyDescent="0.3">
      <c r="B92" s="22" t="str">
        <f>IF(ISBLANK(C92),"",SUBTOTAL(3, $C$3:C92))</f>
        <v/>
      </c>
      <c r="C92" s="36"/>
      <c r="D92" s="23"/>
      <c r="E92" s="24"/>
      <c r="F92" s="24"/>
      <c r="G92" s="27" t="str">
        <f>IF(ISBLANK(Etiket[[#This Row],[ÖLÇÜSÜ]]),"",Etiket[[#This Row],[ADET]]*Etiket[[#This Row],[ÖLÇÜSÜ]]*2/100)</f>
        <v/>
      </c>
      <c r="H92" s="25" t="str">
        <f>IF(ISBLANK(Etiket[[#This Row],[ÖLÇÜSÜ]]),"",45)</f>
        <v/>
      </c>
      <c r="I92" s="25" t="str">
        <f>IF(ISBLANK(Etiket[[#This Row],[ÖLÇÜSÜ]]),"",G92*H92)</f>
        <v/>
      </c>
      <c r="J92" s="26" t="str">
        <f>IF(ISBLANK(Etiket[[#This Row],[ÖLÇÜSÜ]]),"",SUMIF(Etiket[Adı Soyadı],Etiket[[#This Row],[Adı Soyadı]],Etiket[TUTAR]))</f>
        <v/>
      </c>
    </row>
    <row r="93" spans="2:10" ht="16.5" thickTop="1" thickBot="1" x14ac:dyDescent="0.3">
      <c r="B93" s="22" t="str">
        <f>IF(ISBLANK(C93),"",SUBTOTAL(3, $C$3:C93))</f>
        <v/>
      </c>
      <c r="C93" s="36"/>
      <c r="D93" s="23"/>
      <c r="E93" s="24"/>
      <c r="F93" s="24"/>
      <c r="G93" s="27" t="str">
        <f>IF(ISBLANK(Etiket[[#This Row],[ÖLÇÜSÜ]]),"",Etiket[[#This Row],[ADET]]*Etiket[[#This Row],[ÖLÇÜSÜ]]*2/100)</f>
        <v/>
      </c>
      <c r="H93" s="25" t="str">
        <f>IF(ISBLANK(Etiket[[#This Row],[ÖLÇÜSÜ]]),"",45)</f>
        <v/>
      </c>
      <c r="I93" s="25" t="str">
        <f>IF(ISBLANK(Etiket[[#This Row],[ÖLÇÜSÜ]]),"",G93*H93)</f>
        <v/>
      </c>
      <c r="J93" s="26" t="str">
        <f>IF(ISBLANK(Etiket[[#This Row],[ÖLÇÜSÜ]]),"",SUMIF(Etiket[Adı Soyadı],Etiket[[#This Row],[Adı Soyadı]],Etiket[TUTAR]))</f>
        <v/>
      </c>
    </row>
    <row r="94" spans="2:10" ht="16.5" thickTop="1" thickBot="1" x14ac:dyDescent="0.3">
      <c r="B94" s="22" t="str">
        <f>IF(ISBLANK(C94),"",SUBTOTAL(3, $C$3:C94))</f>
        <v/>
      </c>
      <c r="C94" s="36"/>
      <c r="D94" s="23"/>
      <c r="E94" s="24"/>
      <c r="F94" s="24"/>
      <c r="G94" s="27" t="str">
        <f>IF(ISBLANK(Etiket[[#This Row],[ÖLÇÜSÜ]]),"",Etiket[[#This Row],[ADET]]*Etiket[[#This Row],[ÖLÇÜSÜ]]*2/100)</f>
        <v/>
      </c>
      <c r="H94" s="25" t="str">
        <f>IF(ISBLANK(Etiket[[#This Row],[ÖLÇÜSÜ]]),"",45)</f>
        <v/>
      </c>
      <c r="I94" s="25" t="str">
        <f>IF(ISBLANK(Etiket[[#This Row],[ÖLÇÜSÜ]]),"",G94*H94)</f>
        <v/>
      </c>
      <c r="J94" s="26" t="str">
        <f>IF(ISBLANK(Etiket[[#This Row],[ÖLÇÜSÜ]]),"",SUMIF(Etiket[Adı Soyadı],Etiket[[#This Row],[Adı Soyadı]],Etiket[TUTAR]))</f>
        <v/>
      </c>
    </row>
    <row r="95" spans="2:10" ht="16.5" thickTop="1" thickBot="1" x14ac:dyDescent="0.3">
      <c r="B95" s="22" t="str">
        <f>IF(ISBLANK(C95),"",SUBTOTAL(3, $C$3:C95))</f>
        <v/>
      </c>
      <c r="C95" s="36"/>
      <c r="D95" s="23"/>
      <c r="E95" s="24"/>
      <c r="F95" s="24"/>
      <c r="G95" s="27" t="str">
        <f>IF(ISBLANK(Etiket[[#This Row],[ÖLÇÜSÜ]]),"",Etiket[[#This Row],[ADET]]*Etiket[[#This Row],[ÖLÇÜSÜ]]*2/100)</f>
        <v/>
      </c>
      <c r="H95" s="25" t="str">
        <f>IF(ISBLANK(Etiket[[#This Row],[ÖLÇÜSÜ]]),"",45)</f>
        <v/>
      </c>
      <c r="I95" s="25" t="str">
        <f>IF(ISBLANK(Etiket[[#This Row],[ÖLÇÜSÜ]]),"",G95*H95)</f>
        <v/>
      </c>
      <c r="J95" s="26" t="str">
        <f>IF(ISBLANK(Etiket[[#This Row],[ÖLÇÜSÜ]]),"",SUMIF(Etiket[Adı Soyadı],Etiket[[#This Row],[Adı Soyadı]],Etiket[TUTAR]))</f>
        <v/>
      </c>
    </row>
    <row r="96" spans="2:10" ht="16.5" thickTop="1" thickBot="1" x14ac:dyDescent="0.3">
      <c r="B96" s="11" t="str">
        <f>IF(ISBLANK(C96),"",SUBTOTAL(3, $C$3:C96))</f>
        <v/>
      </c>
      <c r="C96" s="33"/>
      <c r="D96" s="12"/>
      <c r="E96" s="13"/>
      <c r="F96" s="13"/>
      <c r="G96" s="29" t="str">
        <f>IF(ISBLANK(Etiket[[#This Row],[ÖLÇÜSÜ]]),"",Etiket[[#This Row],[ADET]]*Etiket[[#This Row],[ÖLÇÜSÜ]]*2/100)</f>
        <v/>
      </c>
      <c r="H96" s="25" t="str">
        <f>IF(ISBLANK(Etiket[[#This Row],[ÖLÇÜSÜ]]),"",45)</f>
        <v/>
      </c>
      <c r="I96" s="25" t="str">
        <f>IF(ISBLANK(Etiket[[#This Row],[ÖLÇÜSÜ]]),"",G96*H96)</f>
        <v/>
      </c>
      <c r="J96" s="14" t="str">
        <f>IF(ISBLANK(Etiket[[#This Row],[ÖLÇÜSÜ]]),"",SUMIF(Etiket[Adı Soyadı],Etiket[[#This Row],[Adı Soyadı]],Etiket[TUTAR]))</f>
        <v/>
      </c>
    </row>
    <row r="97" spans="2:10" ht="16.5" thickTop="1" thickBot="1" x14ac:dyDescent="0.3">
      <c r="B97" s="1" t="str">
        <f>IF(ISBLANK(C97),"",SUBTOTAL(3, $C$3:C97))</f>
        <v/>
      </c>
      <c r="C97" s="34"/>
      <c r="D97" s="6"/>
      <c r="E97" s="7"/>
      <c r="F97" s="7"/>
      <c r="G97" s="30" t="str">
        <f>IF(ISBLANK(Etiket[[#This Row],[ÖLÇÜSÜ]]),"",Etiket[[#This Row],[ADET]]*Etiket[[#This Row],[ÖLÇÜSÜ]]*2/100)</f>
        <v/>
      </c>
      <c r="H97" s="25" t="str">
        <f>IF(ISBLANK(Etiket[[#This Row],[ÖLÇÜSÜ]]),"",45)</f>
        <v/>
      </c>
      <c r="I97" s="25" t="str">
        <f>IF(ISBLANK(Etiket[[#This Row],[ÖLÇÜSÜ]]),"",G97*H97)</f>
        <v/>
      </c>
      <c r="J97" s="2" t="str">
        <f>IF(ISBLANK(Etiket[[#This Row],[ÖLÇÜSÜ]]),"",SUMIF(Etiket[Adı Soyadı],Etiket[[#This Row],[Adı Soyadı]],Etiket[TUTAR]))</f>
        <v/>
      </c>
    </row>
    <row r="98" spans="2:10" ht="16.5" thickTop="1" thickBot="1" x14ac:dyDescent="0.3">
      <c r="B98" s="1" t="str">
        <f>IF(ISBLANK(C98),"",SUBTOTAL(3, $C$3:C98))</f>
        <v/>
      </c>
      <c r="C98" s="34"/>
      <c r="D98" s="6"/>
      <c r="E98" s="7"/>
      <c r="F98" s="7"/>
      <c r="G98" s="30" t="str">
        <f>IF(ISBLANK(Etiket[[#This Row],[ÖLÇÜSÜ]]),"",Etiket[[#This Row],[ADET]]*Etiket[[#This Row],[ÖLÇÜSÜ]]*2/100)</f>
        <v/>
      </c>
      <c r="H98" s="25" t="str">
        <f>IF(ISBLANK(Etiket[[#This Row],[ÖLÇÜSÜ]]),"",45)</f>
        <v/>
      </c>
      <c r="I98" s="25" t="str">
        <f>IF(ISBLANK(Etiket[[#This Row],[ÖLÇÜSÜ]]),"",G98*H98)</f>
        <v/>
      </c>
      <c r="J98" s="2" t="str">
        <f>IF(ISBLANK(Etiket[[#This Row],[ÖLÇÜSÜ]]),"",SUMIF(Etiket[Adı Soyadı],Etiket[[#This Row],[Adı Soyadı]],Etiket[TUTAR]))</f>
        <v/>
      </c>
    </row>
    <row r="99" spans="2:10" ht="16.5" thickTop="1" thickBot="1" x14ac:dyDescent="0.3">
      <c r="B99" s="1" t="str">
        <f>IF(ISBLANK(C99),"",SUBTOTAL(3, $C$3:C99))</f>
        <v/>
      </c>
      <c r="C99" s="34"/>
      <c r="D99" s="6"/>
      <c r="E99" s="7"/>
      <c r="F99" s="7"/>
      <c r="G99" s="30" t="str">
        <f>IF(ISBLANK(Etiket[[#This Row],[ÖLÇÜSÜ]]),"",Etiket[[#This Row],[ADET]]*Etiket[[#This Row],[ÖLÇÜSÜ]]*2/100)</f>
        <v/>
      </c>
      <c r="H99" s="25" t="str">
        <f>IF(ISBLANK(Etiket[[#This Row],[ÖLÇÜSÜ]]),"",45)</f>
        <v/>
      </c>
      <c r="I99" s="25" t="str">
        <f>IF(ISBLANK(Etiket[[#This Row],[ÖLÇÜSÜ]]),"",G99*H99)</f>
        <v/>
      </c>
      <c r="J99" s="2" t="str">
        <f>IF(ISBLANK(Etiket[[#This Row],[ÖLÇÜSÜ]]),"",SUMIF(Etiket[Adı Soyadı],Etiket[[#This Row],[Adı Soyadı]],Etiket[TUTAR]))</f>
        <v/>
      </c>
    </row>
    <row r="100" spans="2:10" ht="16.5" thickTop="1" thickBot="1" x14ac:dyDescent="0.3">
      <c r="B100" s="1" t="str">
        <f>IF(ISBLANK(C100),"",SUBTOTAL(3, $C$3:C100))</f>
        <v/>
      </c>
      <c r="C100" s="34"/>
      <c r="D100" s="6"/>
      <c r="E100" s="7"/>
      <c r="F100" s="7"/>
      <c r="G100" s="30" t="str">
        <f>IF(ISBLANK(Etiket[[#This Row],[ÖLÇÜSÜ]]),"",Etiket[[#This Row],[ADET]]*Etiket[[#This Row],[ÖLÇÜSÜ]]*2/100)</f>
        <v/>
      </c>
      <c r="H100" s="25" t="str">
        <f>IF(ISBLANK(Etiket[[#This Row],[ÖLÇÜSÜ]]),"",45)</f>
        <v/>
      </c>
      <c r="I100" s="25" t="str">
        <f>IF(ISBLANK(Etiket[[#This Row],[ÖLÇÜSÜ]]),"",G100*H100)</f>
        <v/>
      </c>
      <c r="J100" s="2" t="str">
        <f>IF(ISBLANK(Etiket[[#This Row],[ÖLÇÜSÜ]]),"",SUMIF(Etiket[Adı Soyadı],Etiket[[#This Row],[Adı Soyadı]],Etiket[TUTAR]))</f>
        <v/>
      </c>
    </row>
    <row r="101" spans="2:10" ht="16.5" thickTop="1" thickBot="1" x14ac:dyDescent="0.3">
      <c r="B101" s="1" t="str">
        <f>IF(ISBLANK(C101),"",SUBTOTAL(3, $C$3:C101))</f>
        <v/>
      </c>
      <c r="C101" s="34"/>
      <c r="D101" s="6"/>
      <c r="E101" s="7"/>
      <c r="F101" s="7"/>
      <c r="G101" s="30" t="str">
        <f>IF(ISBLANK(Etiket[[#This Row],[ÖLÇÜSÜ]]),"",Etiket[[#This Row],[ADET]]*Etiket[[#This Row],[ÖLÇÜSÜ]]*2/100)</f>
        <v/>
      </c>
      <c r="H101" s="25" t="str">
        <f>IF(ISBLANK(Etiket[[#This Row],[ÖLÇÜSÜ]]),"",45)</f>
        <v/>
      </c>
      <c r="I101" s="25" t="str">
        <f>IF(ISBLANK(Etiket[[#This Row],[ÖLÇÜSÜ]]),"",G101*H101)</f>
        <v/>
      </c>
      <c r="J101" s="2" t="str">
        <f>IF(ISBLANK(Etiket[[#This Row],[ÖLÇÜSÜ]]),"",SUMIF(Etiket[Adı Soyadı],Etiket[[#This Row],[Adı Soyadı]],Etiket[TUTAR]))</f>
        <v/>
      </c>
    </row>
    <row r="102" spans="2:10" ht="16.5" thickTop="1" thickBot="1" x14ac:dyDescent="0.3">
      <c r="B102" s="1" t="str">
        <f>IF(ISBLANK(C102),"",SUBTOTAL(3, $C$3:C102))</f>
        <v/>
      </c>
      <c r="C102" s="34"/>
      <c r="D102" s="6"/>
      <c r="E102" s="7"/>
      <c r="F102" s="7"/>
      <c r="G102" s="30" t="str">
        <f>IF(ISBLANK(Etiket[[#This Row],[ÖLÇÜSÜ]]),"",Etiket[[#This Row],[ADET]]*Etiket[[#This Row],[ÖLÇÜSÜ]]*2/100)</f>
        <v/>
      </c>
      <c r="H102" s="25" t="str">
        <f>IF(ISBLANK(Etiket[[#This Row],[ÖLÇÜSÜ]]),"",45)</f>
        <v/>
      </c>
      <c r="I102" s="25" t="str">
        <f>IF(ISBLANK(Etiket[[#This Row],[ÖLÇÜSÜ]]),"",G102*H102)</f>
        <v/>
      </c>
      <c r="J102" s="2" t="str">
        <f>IF(ISBLANK(Etiket[[#This Row],[ÖLÇÜSÜ]]),"",SUMIF(Etiket[Adı Soyadı],Etiket[[#This Row],[Adı Soyadı]],Etiket[TUTAR]))</f>
        <v/>
      </c>
    </row>
    <row r="103" spans="2:10" ht="16.5" thickTop="1" thickBot="1" x14ac:dyDescent="0.3">
      <c r="B103" s="1" t="str">
        <f>IF(ISBLANK(C103),"",SUBTOTAL(3, $C$3:C103))</f>
        <v/>
      </c>
      <c r="C103" s="34"/>
      <c r="D103" s="6"/>
      <c r="E103" s="7"/>
      <c r="F103" s="7"/>
      <c r="G103" s="30" t="str">
        <f>IF(ISBLANK(Etiket[[#This Row],[ÖLÇÜSÜ]]),"",Etiket[[#This Row],[ADET]]*Etiket[[#This Row],[ÖLÇÜSÜ]]*2/100)</f>
        <v/>
      </c>
      <c r="H103" s="25" t="str">
        <f>IF(ISBLANK(Etiket[[#This Row],[ÖLÇÜSÜ]]),"",45)</f>
        <v/>
      </c>
      <c r="I103" s="25" t="str">
        <f>IF(ISBLANK(Etiket[[#This Row],[ÖLÇÜSÜ]]),"",G103*H103)</f>
        <v/>
      </c>
      <c r="J103" s="2" t="str">
        <f>IF(ISBLANK(Etiket[[#This Row],[ÖLÇÜSÜ]]),"",SUMIF(Etiket[Adı Soyadı],Etiket[[#This Row],[Adı Soyadı]],Etiket[TUTAR]))</f>
        <v/>
      </c>
    </row>
    <row r="104" spans="2:10" ht="16.5" thickTop="1" thickBot="1" x14ac:dyDescent="0.3">
      <c r="B104" s="1" t="str">
        <f>IF(ISBLANK(C104),"",SUBTOTAL(3, $C$3:C104))</f>
        <v/>
      </c>
      <c r="C104" s="34"/>
      <c r="D104" s="6"/>
      <c r="E104" s="7"/>
      <c r="F104" s="7"/>
      <c r="G104" s="30" t="str">
        <f>IF(ISBLANK(Etiket[[#This Row],[ÖLÇÜSÜ]]),"",Etiket[[#This Row],[ADET]]*Etiket[[#This Row],[ÖLÇÜSÜ]]*2/100)</f>
        <v/>
      </c>
      <c r="H104" s="25" t="str">
        <f>IF(ISBLANK(Etiket[[#This Row],[ÖLÇÜSÜ]]),"",45)</f>
        <v/>
      </c>
      <c r="I104" s="25" t="str">
        <f>IF(ISBLANK(Etiket[[#This Row],[ÖLÇÜSÜ]]),"",G104*H104)</f>
        <v/>
      </c>
      <c r="J104" s="2" t="str">
        <f>IF(ISBLANK(Etiket[[#This Row],[ÖLÇÜSÜ]]),"",SUMIF(Etiket[Adı Soyadı],Etiket[[#This Row],[Adı Soyadı]],Etiket[TUTAR]))</f>
        <v/>
      </c>
    </row>
    <row r="105" spans="2:10" ht="16.5" thickTop="1" thickBot="1" x14ac:dyDescent="0.3">
      <c r="B105" s="1" t="str">
        <f>IF(ISBLANK(C105),"",SUBTOTAL(3, $C$3:C105))</f>
        <v/>
      </c>
      <c r="C105" s="34"/>
      <c r="D105" s="6"/>
      <c r="E105" s="7"/>
      <c r="F105" s="7"/>
      <c r="G105" s="30" t="str">
        <f>IF(ISBLANK(Etiket[[#This Row],[ÖLÇÜSÜ]]),"",Etiket[[#This Row],[ADET]]*Etiket[[#This Row],[ÖLÇÜSÜ]]*2/100)</f>
        <v/>
      </c>
      <c r="H105" s="25" t="str">
        <f>IF(ISBLANK(Etiket[[#This Row],[ÖLÇÜSÜ]]),"",45)</f>
        <v/>
      </c>
      <c r="I105" s="25" t="str">
        <f>IF(ISBLANK(Etiket[[#This Row],[ÖLÇÜSÜ]]),"",G105*H105)</f>
        <v/>
      </c>
      <c r="J105" s="2" t="str">
        <f>IF(ISBLANK(Etiket[[#This Row],[ÖLÇÜSÜ]]),"",SUMIF(Etiket[Adı Soyadı],Etiket[[#This Row],[Adı Soyadı]],Etiket[TUTAR]))</f>
        <v/>
      </c>
    </row>
    <row r="106" spans="2:10" ht="16.5" thickTop="1" thickBot="1" x14ac:dyDescent="0.3">
      <c r="B106" s="1" t="str">
        <f>IF(ISBLANK(C106),"",SUBTOTAL(3, $C$3:C106))</f>
        <v/>
      </c>
      <c r="C106" s="34"/>
      <c r="D106" s="6"/>
      <c r="E106" s="7"/>
      <c r="F106" s="7"/>
      <c r="G106" s="30" t="str">
        <f>IF(ISBLANK(Etiket[[#This Row],[ÖLÇÜSÜ]]),"",Etiket[[#This Row],[ADET]]*Etiket[[#This Row],[ÖLÇÜSÜ]]*2/100)</f>
        <v/>
      </c>
      <c r="H106" s="25" t="str">
        <f>IF(ISBLANK(Etiket[[#This Row],[ÖLÇÜSÜ]]),"",45)</f>
        <v/>
      </c>
      <c r="I106" s="25" t="str">
        <f>IF(ISBLANK(Etiket[[#This Row],[ÖLÇÜSÜ]]),"",G106*H106)</f>
        <v/>
      </c>
      <c r="J106" s="2" t="str">
        <f>IF(ISBLANK(Etiket[[#This Row],[ÖLÇÜSÜ]]),"",SUMIF(Etiket[Adı Soyadı],Etiket[[#This Row],[Adı Soyadı]],Etiket[TUTAR]))</f>
        <v/>
      </c>
    </row>
    <row r="107" spans="2:10" ht="16.5" thickTop="1" thickBot="1" x14ac:dyDescent="0.3">
      <c r="B107" s="1" t="str">
        <f>IF(ISBLANK(C107),"",SUBTOTAL(3, $C$3:C107))</f>
        <v/>
      </c>
      <c r="C107" s="34"/>
      <c r="D107" s="6"/>
      <c r="E107" s="7"/>
      <c r="F107" s="7"/>
      <c r="G107" s="30" t="str">
        <f>IF(ISBLANK(Etiket[[#This Row],[ÖLÇÜSÜ]]),"",Etiket[[#This Row],[ADET]]*Etiket[[#This Row],[ÖLÇÜSÜ]]*2/100)</f>
        <v/>
      </c>
      <c r="H107" s="25" t="str">
        <f>IF(ISBLANK(Etiket[[#This Row],[ÖLÇÜSÜ]]),"",45)</f>
        <v/>
      </c>
      <c r="I107" s="25" t="str">
        <f>IF(ISBLANK(Etiket[[#This Row],[ÖLÇÜSÜ]]),"",G107*H107)</f>
        <v/>
      </c>
      <c r="J107" s="2" t="str">
        <f>IF(ISBLANK(Etiket[[#This Row],[ÖLÇÜSÜ]]),"",SUMIF(Etiket[Adı Soyadı],Etiket[[#This Row],[Adı Soyadı]],Etiket[TUTAR]))</f>
        <v/>
      </c>
    </row>
    <row r="108" spans="2:10" ht="16.5" thickTop="1" thickBot="1" x14ac:dyDescent="0.3">
      <c r="B108" s="1" t="str">
        <f>IF(ISBLANK(C108),"",SUBTOTAL(3, $C$3:C108))</f>
        <v/>
      </c>
      <c r="C108" s="34"/>
      <c r="D108" s="6"/>
      <c r="E108" s="7"/>
      <c r="F108" s="7"/>
      <c r="G108" s="30" t="str">
        <f>IF(ISBLANK(Etiket[[#This Row],[ÖLÇÜSÜ]]),"",Etiket[[#This Row],[ADET]]*Etiket[[#This Row],[ÖLÇÜSÜ]]*2/100)</f>
        <v/>
      </c>
      <c r="H108" s="25" t="str">
        <f>IF(ISBLANK(Etiket[[#This Row],[ÖLÇÜSÜ]]),"",45)</f>
        <v/>
      </c>
      <c r="I108" s="25" t="str">
        <f>IF(ISBLANK(Etiket[[#This Row],[ÖLÇÜSÜ]]),"",G108*H108)</f>
        <v/>
      </c>
      <c r="J108" s="2" t="str">
        <f>IF(ISBLANK(Etiket[[#This Row],[ÖLÇÜSÜ]]),"",SUMIF(Etiket[Adı Soyadı],Etiket[[#This Row],[Adı Soyadı]],Etiket[TUTAR]))</f>
        <v/>
      </c>
    </row>
    <row r="109" spans="2:10" ht="16.5" thickTop="1" thickBot="1" x14ac:dyDescent="0.3">
      <c r="B109" s="1" t="str">
        <f>IF(ISBLANK(C109),"",SUBTOTAL(3, $C$3:C109))</f>
        <v/>
      </c>
      <c r="C109" s="34"/>
      <c r="D109" s="6"/>
      <c r="E109" s="9"/>
      <c r="F109" s="9"/>
      <c r="G109" s="31" t="str">
        <f>IF(ISBLANK(Etiket[[#This Row],[ÖLÇÜSÜ]]),"",Etiket[[#This Row],[ADET]]*Etiket[[#This Row],[ÖLÇÜSÜ]]*2/100)</f>
        <v/>
      </c>
      <c r="H109" s="25" t="str">
        <f>IF(ISBLANK(Etiket[[#This Row],[ÖLÇÜSÜ]]),"",45)</f>
        <v/>
      </c>
      <c r="I109" s="25" t="str">
        <f>IF(ISBLANK(Etiket[[#This Row],[ÖLÇÜSÜ]]),"",G109*H109)</f>
        <v/>
      </c>
      <c r="J109" s="10" t="str">
        <f>IF(ISBLANK(Etiket[[#This Row],[ÖLÇÜSÜ]]),"",SUMIF(Etiket[Adı Soyadı],Etiket[[#This Row],[Adı Soyadı]],Etiket[TUTAR]))</f>
        <v/>
      </c>
    </row>
    <row r="110" spans="2:10" ht="16.5" thickTop="1" thickBot="1" x14ac:dyDescent="0.3">
      <c r="B110" s="1" t="str">
        <f>IF(ISBLANK(C110),"",SUBTOTAL(3, $C$3:C110))</f>
        <v/>
      </c>
      <c r="C110" s="35"/>
      <c r="D110" s="8"/>
      <c r="E110" s="9"/>
      <c r="F110" s="9"/>
      <c r="G110" s="31" t="str">
        <f>IF(ISBLANK(Etiket[[#This Row],[ÖLÇÜSÜ]]),"",Etiket[[#This Row],[ADET]]*Etiket[[#This Row],[ÖLÇÜSÜ]]*2/100)</f>
        <v/>
      </c>
      <c r="H110" s="25" t="str">
        <f>IF(ISBLANK(Etiket[[#This Row],[ÖLÇÜSÜ]]),"",45)</f>
        <v/>
      </c>
      <c r="I110" s="25" t="str">
        <f>IF(ISBLANK(Etiket[[#This Row],[ÖLÇÜSÜ]]),"",G110*H110)</f>
        <v/>
      </c>
      <c r="J110" s="10" t="str">
        <f>IF(ISBLANK(Etiket[[#This Row],[ÖLÇÜSÜ]]),"",SUMIF(Etiket[Adı Soyadı],Etiket[[#This Row],[Adı Soyadı]],Etiket[TUTAR]))</f>
        <v/>
      </c>
    </row>
    <row r="111" spans="2:10" ht="16.5" thickTop="1" thickBot="1" x14ac:dyDescent="0.3">
      <c r="B111" s="1" t="str">
        <f>IF(ISBLANK(C111),"",SUBTOTAL(3, $C$3:C111))</f>
        <v/>
      </c>
      <c r="C111" s="35"/>
      <c r="D111" s="8"/>
      <c r="E111" s="9"/>
      <c r="F111" s="9"/>
      <c r="G111" s="31" t="str">
        <f>IF(ISBLANK(Etiket[[#This Row],[ÖLÇÜSÜ]]),"",Etiket[[#This Row],[ADET]]*Etiket[[#This Row],[ÖLÇÜSÜ]]*2/100)</f>
        <v/>
      </c>
      <c r="H111" s="25" t="str">
        <f>IF(ISBLANK(Etiket[[#This Row],[ÖLÇÜSÜ]]),"",45)</f>
        <v/>
      </c>
      <c r="I111" s="25" t="str">
        <f>IF(ISBLANK(Etiket[[#This Row],[ÖLÇÜSÜ]]),"",G111*H111)</f>
        <v/>
      </c>
      <c r="J111" s="10" t="str">
        <f>IF(ISBLANK(Etiket[[#This Row],[ÖLÇÜSÜ]]),"",SUMIF(Etiket[Adı Soyadı],Etiket[[#This Row],[Adı Soyadı]],Etiket[TUTAR]))</f>
        <v/>
      </c>
    </row>
    <row r="112" spans="2:10" ht="16.5" thickTop="1" thickBot="1" x14ac:dyDescent="0.3">
      <c r="B112" s="1" t="str">
        <f>IF(ISBLANK(C112),"",SUBTOTAL(3, $C$3:C112))</f>
        <v/>
      </c>
      <c r="C112" s="35"/>
      <c r="D112" s="8"/>
      <c r="E112" s="9"/>
      <c r="F112" s="9"/>
      <c r="G112" s="31" t="str">
        <f>IF(ISBLANK(Etiket[[#This Row],[ÖLÇÜSÜ]]),"",Etiket[[#This Row],[ADET]]*Etiket[[#This Row],[ÖLÇÜSÜ]]*2/100)</f>
        <v/>
      </c>
      <c r="H112" s="25" t="str">
        <f>IF(ISBLANK(Etiket[[#This Row],[ÖLÇÜSÜ]]),"",45)</f>
        <v/>
      </c>
      <c r="I112" s="25" t="str">
        <f>IF(ISBLANK(Etiket[[#This Row],[ÖLÇÜSÜ]]),"",G112*H112)</f>
        <v/>
      </c>
      <c r="J112" s="10" t="str">
        <f>IF(ISBLANK(Etiket[[#This Row],[ÖLÇÜSÜ]]),"",SUMIF(Etiket[Adı Soyadı],Etiket[[#This Row],[Adı Soyadı]],Etiket[TUTAR]))</f>
        <v/>
      </c>
    </row>
    <row r="113" spans="2:10" ht="16.5" thickTop="1" thickBot="1" x14ac:dyDescent="0.3">
      <c r="B113" s="1" t="str">
        <f>IF(ISBLANK(C113),"",SUBTOTAL(3, $C$3:C113))</f>
        <v/>
      </c>
      <c r="C113" s="35"/>
      <c r="D113" s="8"/>
      <c r="E113" s="9"/>
      <c r="F113" s="9"/>
      <c r="G113" s="31" t="str">
        <f>IF(ISBLANK(Etiket[[#This Row],[ÖLÇÜSÜ]]),"",Etiket[[#This Row],[ADET]]*Etiket[[#This Row],[ÖLÇÜSÜ]]*2/100)</f>
        <v/>
      </c>
      <c r="H113" s="25" t="str">
        <f>IF(ISBLANK(Etiket[[#This Row],[ÖLÇÜSÜ]]),"",45)</f>
        <v/>
      </c>
      <c r="I113" s="25" t="str">
        <f>IF(ISBLANK(Etiket[[#This Row],[ÖLÇÜSÜ]]),"",G113*H113)</f>
        <v/>
      </c>
      <c r="J113" s="10" t="str">
        <f>IF(ISBLANK(Etiket[[#This Row],[ÖLÇÜSÜ]]),"",SUMIF(Etiket[Adı Soyadı],Etiket[[#This Row],[Adı Soyadı]],Etiket[TUTAR]))</f>
        <v/>
      </c>
    </row>
    <row r="114" spans="2:10" ht="16.5" thickTop="1" thickBot="1" x14ac:dyDescent="0.3">
      <c r="B114" s="1" t="str">
        <f>IF(ISBLANK(C114),"",SUBTOTAL(3, $C$3:C114))</f>
        <v/>
      </c>
      <c r="C114" s="35"/>
      <c r="D114" s="8"/>
      <c r="E114" s="9"/>
      <c r="F114" s="9"/>
      <c r="G114" s="31" t="str">
        <f>IF(ISBLANK(Etiket[[#This Row],[ÖLÇÜSÜ]]),"",Etiket[[#This Row],[ADET]]*Etiket[[#This Row],[ÖLÇÜSÜ]]*2/100)</f>
        <v/>
      </c>
      <c r="H114" s="25" t="str">
        <f>IF(ISBLANK(Etiket[[#This Row],[ÖLÇÜSÜ]]),"",45)</f>
        <v/>
      </c>
      <c r="I114" s="25" t="str">
        <f>IF(ISBLANK(Etiket[[#This Row],[ÖLÇÜSÜ]]),"",G114*H114)</f>
        <v/>
      </c>
      <c r="J114" s="10" t="str">
        <f>IF(ISBLANK(Etiket[[#This Row],[ÖLÇÜSÜ]]),"",SUMIF(Etiket[Adı Soyadı],Etiket[[#This Row],[Adı Soyadı]],Etiket[TUTAR]))</f>
        <v/>
      </c>
    </row>
    <row r="115" spans="2:10" ht="16.5" thickTop="1" thickBot="1" x14ac:dyDescent="0.3">
      <c r="B115" s="1" t="str">
        <f>IF(ISBLANK(C115),"",SUBTOTAL(3, $C$3:C115))</f>
        <v/>
      </c>
      <c r="C115" s="35"/>
      <c r="D115" s="8"/>
      <c r="E115" s="9"/>
      <c r="F115" s="9"/>
      <c r="G115" s="31" t="str">
        <f>IF(ISBLANK(Etiket[[#This Row],[ÖLÇÜSÜ]]),"",Etiket[[#This Row],[ADET]]*Etiket[[#This Row],[ÖLÇÜSÜ]]*2/100)</f>
        <v/>
      </c>
      <c r="H115" s="25" t="str">
        <f>IF(ISBLANK(Etiket[[#This Row],[ÖLÇÜSÜ]]),"",45)</f>
        <v/>
      </c>
      <c r="I115" s="25" t="str">
        <f>IF(ISBLANK(Etiket[[#This Row],[ÖLÇÜSÜ]]),"",G115*H115)</f>
        <v/>
      </c>
      <c r="J115" s="10" t="str">
        <f>IF(ISBLANK(Etiket[[#This Row],[ÖLÇÜSÜ]]),"",SUMIF(Etiket[Adı Soyadı],Etiket[[#This Row],[Adı Soyadı]],Etiket[TUTAR]))</f>
        <v/>
      </c>
    </row>
    <row r="116" spans="2:10" ht="16.5" thickTop="1" thickBot="1" x14ac:dyDescent="0.3">
      <c r="B116" s="5" t="str">
        <f>IF(ISBLANK(C116),"",SUBTOTAL(3, $C$3:C116))</f>
        <v/>
      </c>
      <c r="C116" s="35"/>
      <c r="D116" s="8"/>
      <c r="E116" s="9"/>
      <c r="F116" s="9"/>
      <c r="G116" s="31" t="str">
        <f>IF(ISBLANK(Etiket[[#This Row],[ÖLÇÜSÜ]]),"",Etiket[[#This Row],[ADET]]*Etiket[[#This Row],[ÖLÇÜSÜ]]*2/100)</f>
        <v/>
      </c>
      <c r="H116" s="25" t="str">
        <f>IF(ISBLANK(Etiket[[#This Row],[ÖLÇÜSÜ]]),"",45)</f>
        <v/>
      </c>
      <c r="I116" s="25" t="str">
        <f>IF(ISBLANK(Etiket[[#This Row],[ÖLÇÜSÜ]]),"",G116*H116)</f>
        <v/>
      </c>
      <c r="J116" s="10" t="str">
        <f>IF(ISBLANK(Etiket[[#This Row],[ÖLÇÜSÜ]]),"",SUMIF(Etiket[Adı Soyadı],Etiket[[#This Row],[Adı Soyadı]],Etiket[TUTAR]))</f>
        <v/>
      </c>
    </row>
    <row r="117" spans="2:10" ht="16.5" thickTop="1" thickBot="1" x14ac:dyDescent="0.3">
      <c r="B117" s="22" t="s">
        <v>41</v>
      </c>
      <c r="C117" s="23"/>
      <c r="D117" s="23"/>
      <c r="E117" s="24"/>
      <c r="F117" s="24">
        <f>SUBTOTAL(109,Etiket[ADET])</f>
        <v>0</v>
      </c>
      <c r="G117" s="27"/>
      <c r="H117" s="25"/>
      <c r="I117" s="25">
        <f>SUBTOTAL(109,Etiket[TUTAR])</f>
        <v>0</v>
      </c>
      <c r="J117" s="28"/>
    </row>
    <row r="118" spans="2:10" ht="15.75" thickTop="1" x14ac:dyDescent="0.25"/>
  </sheetData>
  <conditionalFormatting sqref="C3:C116">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8"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85E203FE-CDCA-49B9-BB1A-E9809554CCF4}">
          <x14:formula1>
            <xm:f>Listeler!$F$3:$F$15</xm:f>
          </x14:formula1>
          <xm:sqref>D3:D116</xm:sqref>
        </x14:dataValidation>
        <x14:dataValidation type="list" allowBlank="1" showInputMessage="1" showErrorMessage="1" xr:uid="{3337FB01-7CDF-4D6F-BAD4-0B82F58C5B89}">
          <x14:formula1>
            <xm:f>Listeler!$C$3:$C$45</xm:f>
          </x14:formula1>
          <xm:sqref>C3:C116</xm:sqref>
        </x14:dataValidation>
        <x14:dataValidation type="list" allowBlank="1" showInputMessage="1" showErrorMessage="1" xr:uid="{ABD0671A-7CD3-4796-B0D9-C5C26B79CD11}">
          <x14:formula1>
            <xm:f>Listeler!$I$3:$I$40</xm:f>
          </x14:formula1>
          <xm:sqref>E3:E116</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B26E1-63A3-4DD2-9300-C37F60E1FB46}">
  <sheetPr codeName="Sayfa4">
    <tabColor rgb="FFC00000"/>
  </sheetPr>
  <dimension ref="B1:J99"/>
  <sheetViews>
    <sheetView zoomScaleNormal="100" workbookViewId="0">
      <pane ySplit="2" topLeftCell="A3" activePane="bottomLeft" state="frozen"/>
      <selection activeCell="F31" sqref="F31"/>
      <selection pane="bottomLeft" activeCell="N8" sqref="N8"/>
    </sheetView>
  </sheetViews>
  <sheetFormatPr defaultRowHeight="15" x14ac:dyDescent="0.25"/>
  <cols>
    <col min="1" max="1" width="2.7109375" customWidth="1"/>
    <col min="2" max="2" width="3.85546875" style="3" customWidth="1"/>
    <col min="3" max="3" width="18.42578125" style="52" customWidth="1"/>
    <col min="4" max="4" width="8.85546875" style="52" bestFit="1" customWidth="1"/>
    <col min="5" max="5" width="5.5703125" style="52" customWidth="1"/>
    <col min="6" max="6" width="4.28515625" style="52" customWidth="1"/>
    <col min="7" max="7" width="5.7109375" style="52" customWidth="1"/>
    <col min="8" max="8" width="9.28515625" style="3" customWidth="1"/>
    <col min="9" max="10" width="9.7109375" bestFit="1" customWidth="1"/>
  </cols>
  <sheetData>
    <row r="1" spans="2:10" ht="57.6" customHeight="1" thickBot="1" x14ac:dyDescent="0.3"/>
    <row r="2" spans="2:10" ht="25.9" customHeight="1" thickTop="1" thickBot="1" x14ac:dyDescent="0.3">
      <c r="B2" s="40" t="s">
        <v>19</v>
      </c>
      <c r="C2" s="41" t="s">
        <v>18</v>
      </c>
      <c r="D2" s="42" t="s">
        <v>52</v>
      </c>
      <c r="E2" s="43" t="s">
        <v>58</v>
      </c>
      <c r="F2" s="43" t="s">
        <v>59</v>
      </c>
      <c r="G2" s="44" t="s">
        <v>1</v>
      </c>
      <c r="H2" s="53" t="s">
        <v>2</v>
      </c>
      <c r="I2" s="47" t="s">
        <v>3</v>
      </c>
      <c r="J2" s="15" t="s">
        <v>44</v>
      </c>
    </row>
    <row r="3" spans="2:10" ht="16.5" thickTop="1" thickBot="1" x14ac:dyDescent="0.3">
      <c r="B3" s="16" t="str">
        <f>IF(ISBLANK(C3),"",SUBTOTAL(3, $C$3:C3))</f>
        <v/>
      </c>
      <c r="C3" s="32"/>
      <c r="D3" s="17"/>
      <c r="E3" s="18"/>
      <c r="F3" s="18"/>
      <c r="G3" s="18"/>
      <c r="H3" s="45" t="str">
        <f>IF(ISBLANK(ElOverlogu[[#This Row],[En]]),"",VLOOKUP(ElOverlogu[[#This Row],[Ürün Cinsi]],Fiyat[[Ölçü]:[Birim Fiyatı]],2,0))</f>
        <v/>
      </c>
      <c r="I3" s="45" t="str">
        <f>IF(ISBLANK(ElOverlogu[[#This Row],[En]]),"",(ElOverlogu[[#This Row],[En]]+ElOverlogu[[#This Row],[Boy]])*ElOverlogu[[#This Row],[ADET]]*2*H3/100)</f>
        <v/>
      </c>
      <c r="J3" s="46" t="str">
        <f>IF(ISBLANK(ElOverlogu[[#This Row],[En]]),"",SUMIF(ElOverlogu[Adı Soyadı],ElOverlogu[[#This Row],[Adı Soyadı]],ElOverlogu[TUTAR]))</f>
        <v/>
      </c>
    </row>
    <row r="4" spans="2:10" ht="16.5" thickTop="1" thickBot="1" x14ac:dyDescent="0.3">
      <c r="B4" s="16" t="str">
        <f>IF(ISBLANK(C4),"",SUBTOTAL(3, $C$3:C4))</f>
        <v/>
      </c>
      <c r="C4" s="32"/>
      <c r="D4" s="17"/>
      <c r="E4" s="18"/>
      <c r="F4" s="18"/>
      <c r="G4" s="18"/>
      <c r="H4" s="45" t="str">
        <f>IF(ISBLANK(ElOverlogu[[#This Row],[En]]),"",VLOOKUP(ElOverlogu[[#This Row],[Ürün Cinsi]],Fiyat[[Ölçü]:[Birim Fiyatı]],2,0))</f>
        <v/>
      </c>
      <c r="I4" s="45" t="str">
        <f>IF(ISBLANK(ElOverlogu[[#This Row],[En]]),"",(ElOverlogu[[#This Row],[En]]+ElOverlogu[[#This Row],[Boy]])*ElOverlogu[[#This Row],[ADET]]*2*H4/100)</f>
        <v/>
      </c>
      <c r="J4" s="46" t="str">
        <f>IF(ISBLANK(ElOverlogu[[#This Row],[En]]),"",SUMIF(ElOverlogu[Adı Soyadı],ElOverlogu[[#This Row],[Adı Soyadı]],ElOverlogu[TUTAR]))</f>
        <v/>
      </c>
    </row>
    <row r="5" spans="2:10" ht="16.5" thickTop="1" thickBot="1" x14ac:dyDescent="0.3">
      <c r="B5" s="16" t="str">
        <f>IF(ISBLANK(C5),"",SUBTOTAL(3, $C$3:C5))</f>
        <v/>
      </c>
      <c r="C5" s="32"/>
      <c r="D5" s="17"/>
      <c r="E5" s="18"/>
      <c r="F5" s="18"/>
      <c r="G5" s="18"/>
      <c r="H5" s="45" t="str">
        <f>IF(ISBLANK(ElOverlogu[[#This Row],[En]]),"",VLOOKUP(ElOverlogu[[#This Row],[Ürün Cinsi]],Fiyat[[Ölçü]:[Birim Fiyatı]],2,0))</f>
        <v/>
      </c>
      <c r="I5" s="45" t="str">
        <f>IF(ISBLANK(ElOverlogu[[#This Row],[En]]),"",(ElOverlogu[[#This Row],[En]]+ElOverlogu[[#This Row],[Boy]])*ElOverlogu[[#This Row],[ADET]]*2*H5/100)</f>
        <v/>
      </c>
      <c r="J5" s="46" t="str">
        <f>IF(ISBLANK(ElOverlogu[[#This Row],[En]]),"",SUMIF(ElOverlogu[Adı Soyadı],ElOverlogu[[#This Row],[Adı Soyadı]],ElOverlogu[TUTAR]))</f>
        <v/>
      </c>
    </row>
    <row r="6" spans="2:10" ht="16.5" thickTop="1" thickBot="1" x14ac:dyDescent="0.3">
      <c r="B6" s="16" t="str">
        <f>IF(ISBLANK(C6),"",SUBTOTAL(3, $C$3:C6))</f>
        <v/>
      </c>
      <c r="C6" s="32"/>
      <c r="D6" s="17"/>
      <c r="E6" s="18"/>
      <c r="F6" s="18"/>
      <c r="G6" s="18"/>
      <c r="H6" s="45" t="str">
        <f>IF(ISBLANK(ElOverlogu[[#This Row],[En]]),"",VLOOKUP(ElOverlogu[[#This Row],[Ürün Cinsi]],Fiyat[[Ölçü]:[Birim Fiyatı]],2,0))</f>
        <v/>
      </c>
      <c r="I6" s="45" t="str">
        <f>IF(ISBLANK(ElOverlogu[[#This Row],[En]]),"",(ElOverlogu[[#This Row],[En]]+ElOverlogu[[#This Row],[Boy]])*ElOverlogu[[#This Row],[ADET]]*2*H6/100)</f>
        <v/>
      </c>
      <c r="J6" s="46" t="str">
        <f>IF(ISBLANK(ElOverlogu[[#This Row],[En]]),"",SUMIF(ElOverlogu[Adı Soyadı],ElOverlogu[[#This Row],[Adı Soyadı]],ElOverlogu[TUTAR]))</f>
        <v/>
      </c>
    </row>
    <row r="7" spans="2:10" ht="16.5" thickTop="1" thickBot="1" x14ac:dyDescent="0.3">
      <c r="B7" s="16" t="str">
        <f>IF(ISBLANK(C7),"",SUBTOTAL(3, $C$3:C7))</f>
        <v/>
      </c>
      <c r="C7" s="32"/>
      <c r="D7" s="17"/>
      <c r="E7" s="18"/>
      <c r="F7" s="18"/>
      <c r="G7" s="18"/>
      <c r="H7" s="45" t="str">
        <f>IF(ISBLANK(ElOverlogu[[#This Row],[En]]),"",VLOOKUP(ElOverlogu[[#This Row],[Ürün Cinsi]],Fiyat[[Ölçü]:[Birim Fiyatı]],2,0))</f>
        <v/>
      </c>
      <c r="I7" s="45" t="str">
        <f>IF(ISBLANK(ElOverlogu[[#This Row],[En]]),"",(ElOverlogu[[#This Row],[En]]+ElOverlogu[[#This Row],[Boy]])*ElOverlogu[[#This Row],[ADET]]*2*H7/100)</f>
        <v/>
      </c>
      <c r="J7" s="46" t="str">
        <f>IF(ISBLANK(ElOverlogu[[#This Row],[En]]),"",SUMIF(ElOverlogu[Adı Soyadı],ElOverlogu[[#This Row],[Adı Soyadı]],ElOverlogu[TUTAR]))</f>
        <v/>
      </c>
    </row>
    <row r="8" spans="2:10" ht="16.5" thickTop="1" thickBot="1" x14ac:dyDescent="0.3">
      <c r="B8" s="16" t="str">
        <f>IF(ISBLANK(C8),"",SUBTOTAL(3, $C$3:C8))</f>
        <v/>
      </c>
      <c r="C8" s="32"/>
      <c r="D8" s="17"/>
      <c r="E8" s="18"/>
      <c r="F8" s="18"/>
      <c r="G8" s="18"/>
      <c r="H8" s="45" t="str">
        <f>IF(ISBLANK(ElOverlogu[[#This Row],[En]]),"",VLOOKUP(ElOverlogu[[#This Row],[Ürün Cinsi]],Fiyat[[Ölçü]:[Birim Fiyatı]],2,0))</f>
        <v/>
      </c>
      <c r="I8" s="45" t="str">
        <f>IF(ISBLANK(ElOverlogu[[#This Row],[En]]),"",(ElOverlogu[[#This Row],[En]]+ElOverlogu[[#This Row],[Boy]])*ElOverlogu[[#This Row],[ADET]]*2*H8/100)</f>
        <v/>
      </c>
      <c r="J8" s="46" t="str">
        <f>IF(ISBLANK(ElOverlogu[[#This Row],[En]]),"",SUMIF(ElOverlogu[Adı Soyadı],ElOverlogu[[#This Row],[Adı Soyadı]],ElOverlogu[TUTAR]))</f>
        <v/>
      </c>
    </row>
    <row r="9" spans="2:10" ht="16.5" thickTop="1" thickBot="1" x14ac:dyDescent="0.3">
      <c r="B9" s="16" t="str">
        <f>IF(ISBLANK(C9),"",SUBTOTAL(3, $C$3:C9))</f>
        <v/>
      </c>
      <c r="C9" s="32"/>
      <c r="D9" s="17"/>
      <c r="E9" s="18"/>
      <c r="F9" s="18"/>
      <c r="G9" s="18"/>
      <c r="H9" s="45" t="str">
        <f>IF(ISBLANK(ElOverlogu[[#This Row],[En]]),"",VLOOKUP(ElOverlogu[[#This Row],[Ürün Cinsi]],Fiyat[[Ölçü]:[Birim Fiyatı]],2,0))</f>
        <v/>
      </c>
      <c r="I9" s="45" t="str">
        <f>IF(ISBLANK(ElOverlogu[[#This Row],[En]]),"",(ElOverlogu[[#This Row],[En]]+ElOverlogu[[#This Row],[Boy]])*ElOverlogu[[#This Row],[ADET]]*2*H9/100)</f>
        <v/>
      </c>
      <c r="J9" s="46" t="str">
        <f>IF(ISBLANK(ElOverlogu[[#This Row],[En]]),"",SUMIF(ElOverlogu[Adı Soyadı],ElOverlogu[[#This Row],[Adı Soyadı]],ElOverlogu[TUTAR]))</f>
        <v/>
      </c>
    </row>
    <row r="10" spans="2:10" ht="16.5" thickTop="1" thickBot="1" x14ac:dyDescent="0.3">
      <c r="B10" s="16" t="str">
        <f>IF(ISBLANK(C10),"",SUBTOTAL(3, $C$3:C10))</f>
        <v/>
      </c>
      <c r="C10" s="32"/>
      <c r="D10" s="17"/>
      <c r="E10" s="18"/>
      <c r="F10" s="18"/>
      <c r="G10" s="18"/>
      <c r="H10" s="45" t="str">
        <f>IF(ISBLANK(ElOverlogu[[#This Row],[En]]),"",VLOOKUP(ElOverlogu[[#This Row],[Ürün Cinsi]],Fiyat[[Ölçü]:[Birim Fiyatı]],2,0))</f>
        <v/>
      </c>
      <c r="I10" s="45" t="str">
        <f>IF(ISBLANK(ElOverlogu[[#This Row],[En]]),"",(ElOverlogu[[#This Row],[En]]+ElOverlogu[[#This Row],[Boy]])*ElOverlogu[[#This Row],[ADET]]*2*H10/100)</f>
        <v/>
      </c>
      <c r="J10" s="46" t="str">
        <f>IF(ISBLANK(ElOverlogu[[#This Row],[En]]),"",SUMIF(ElOverlogu[Adı Soyadı],ElOverlogu[[#This Row],[Adı Soyadı]],ElOverlogu[TUTAR]))</f>
        <v/>
      </c>
    </row>
    <row r="11" spans="2:10" ht="16.5" thickTop="1" thickBot="1" x14ac:dyDescent="0.3">
      <c r="B11" s="16" t="str">
        <f>IF(ISBLANK(C11),"",SUBTOTAL(3, $C$3:C11))</f>
        <v/>
      </c>
      <c r="C11" s="32"/>
      <c r="D11" s="17"/>
      <c r="E11" s="18"/>
      <c r="F11" s="18"/>
      <c r="G11" s="18"/>
      <c r="H11" s="45" t="str">
        <f>IF(ISBLANK(ElOverlogu[[#This Row],[En]]),"",VLOOKUP(ElOverlogu[[#This Row],[Ürün Cinsi]],Fiyat[[Ölçü]:[Birim Fiyatı]],2,0))</f>
        <v/>
      </c>
      <c r="I11" s="45" t="str">
        <f>IF(ISBLANK(ElOverlogu[[#This Row],[En]]),"",(ElOverlogu[[#This Row],[En]]+ElOverlogu[[#This Row],[Boy]])*ElOverlogu[[#This Row],[ADET]]*2*H11/100)</f>
        <v/>
      </c>
      <c r="J11" s="46" t="str">
        <f>IF(ISBLANK(ElOverlogu[[#This Row],[En]]),"",SUMIF(ElOverlogu[Adı Soyadı],ElOverlogu[[#This Row],[Adı Soyadı]],ElOverlogu[TUTAR]))</f>
        <v/>
      </c>
    </row>
    <row r="12" spans="2:10" ht="16.5" thickTop="1" thickBot="1" x14ac:dyDescent="0.3">
      <c r="B12" s="16" t="str">
        <f>IF(ISBLANK(C12),"",SUBTOTAL(3, $C$3:C12))</f>
        <v/>
      </c>
      <c r="C12" s="32"/>
      <c r="D12" s="17"/>
      <c r="E12" s="18"/>
      <c r="F12" s="18"/>
      <c r="G12" s="18"/>
      <c r="H12" s="45" t="str">
        <f>IF(ISBLANK(ElOverlogu[[#This Row],[En]]),"",VLOOKUP(ElOverlogu[[#This Row],[Ürün Cinsi]],Fiyat[[Ölçü]:[Birim Fiyatı]],2,0))</f>
        <v/>
      </c>
      <c r="I12" s="45" t="str">
        <f>IF(ISBLANK(ElOverlogu[[#This Row],[En]]),"",(ElOverlogu[[#This Row],[En]]+ElOverlogu[[#This Row],[Boy]])*ElOverlogu[[#This Row],[ADET]]*2*H12/100)</f>
        <v/>
      </c>
      <c r="J12" s="46" t="str">
        <f>IF(ISBLANK(ElOverlogu[[#This Row],[En]]),"",SUMIF(ElOverlogu[Adı Soyadı],ElOverlogu[[#This Row],[Adı Soyadı]],ElOverlogu[TUTAR]))</f>
        <v/>
      </c>
    </row>
    <row r="13" spans="2:10" ht="16.5" thickTop="1" thickBot="1" x14ac:dyDescent="0.3">
      <c r="B13" s="16" t="str">
        <f>IF(ISBLANK(C13),"",SUBTOTAL(3, $C$3:C13))</f>
        <v/>
      </c>
      <c r="C13" s="32"/>
      <c r="D13" s="17"/>
      <c r="E13" s="18"/>
      <c r="F13" s="18"/>
      <c r="G13" s="18"/>
      <c r="H13" s="45" t="str">
        <f>IF(ISBLANK(ElOverlogu[[#This Row],[En]]),"",VLOOKUP(ElOverlogu[[#This Row],[Ürün Cinsi]],Fiyat[[Ölçü]:[Birim Fiyatı]],2,0))</f>
        <v/>
      </c>
      <c r="I13" s="45" t="str">
        <f>IF(ISBLANK(ElOverlogu[[#This Row],[En]]),"",(ElOverlogu[[#This Row],[En]]+ElOverlogu[[#This Row],[Boy]])*ElOverlogu[[#This Row],[ADET]]*2*H13/100)</f>
        <v/>
      </c>
      <c r="J13" s="46" t="str">
        <f>IF(ISBLANK(ElOverlogu[[#This Row],[En]]),"",SUMIF(ElOverlogu[Adı Soyadı],ElOverlogu[[#This Row],[Adı Soyadı]],ElOverlogu[TUTAR]))</f>
        <v/>
      </c>
    </row>
    <row r="14" spans="2:10" ht="16.5" thickTop="1" thickBot="1" x14ac:dyDescent="0.3">
      <c r="B14" s="16" t="str">
        <f>IF(ISBLANK(C14),"",SUBTOTAL(3, $C$3:C14))</f>
        <v/>
      </c>
      <c r="C14" s="32"/>
      <c r="D14" s="17"/>
      <c r="E14" s="18"/>
      <c r="F14" s="18"/>
      <c r="G14" s="18"/>
      <c r="H14" s="45" t="str">
        <f>IF(ISBLANK(ElOverlogu[[#This Row],[En]]),"",VLOOKUP(ElOverlogu[[#This Row],[Ürün Cinsi]],Fiyat[[Ölçü]:[Birim Fiyatı]],2,0))</f>
        <v/>
      </c>
      <c r="I14" s="45" t="str">
        <f>IF(ISBLANK(ElOverlogu[[#This Row],[En]]),"",(ElOverlogu[[#This Row],[En]]+ElOverlogu[[#This Row],[Boy]])*ElOverlogu[[#This Row],[ADET]]*2*H14/100)</f>
        <v/>
      </c>
      <c r="J14" s="46" t="str">
        <f>IF(ISBLANK(ElOverlogu[[#This Row],[En]]),"",SUMIF(ElOverlogu[Adı Soyadı],ElOverlogu[[#This Row],[Adı Soyadı]],ElOverlogu[TUTAR]))</f>
        <v/>
      </c>
    </row>
    <row r="15" spans="2:10" ht="16.5" thickTop="1" thickBot="1" x14ac:dyDescent="0.3">
      <c r="B15" s="16" t="str">
        <f>IF(ISBLANK(C15),"",SUBTOTAL(3, $C$3:C15))</f>
        <v/>
      </c>
      <c r="C15" s="32"/>
      <c r="D15" s="17"/>
      <c r="E15" s="18"/>
      <c r="F15" s="18"/>
      <c r="G15" s="18"/>
      <c r="H15" s="45" t="str">
        <f>IF(ISBLANK(ElOverlogu[[#This Row],[En]]),"",VLOOKUP(ElOverlogu[[#This Row],[Ürün Cinsi]],Fiyat[[Ölçü]:[Birim Fiyatı]],2,0))</f>
        <v/>
      </c>
      <c r="I15" s="45" t="str">
        <f>IF(ISBLANK(ElOverlogu[[#This Row],[En]]),"",(ElOverlogu[[#This Row],[En]]+ElOverlogu[[#This Row],[Boy]])*ElOverlogu[[#This Row],[ADET]]*2*H15/100)</f>
        <v/>
      </c>
      <c r="J15" s="46" t="str">
        <f>IF(ISBLANK(ElOverlogu[[#This Row],[En]]),"",SUMIF(ElOverlogu[Adı Soyadı],ElOverlogu[[#This Row],[Adı Soyadı]],ElOverlogu[TUTAR]))</f>
        <v/>
      </c>
    </row>
    <row r="16" spans="2:10" ht="16.5" thickTop="1" thickBot="1" x14ac:dyDescent="0.3">
      <c r="B16" s="16" t="str">
        <f>IF(ISBLANK(C16),"",SUBTOTAL(3, $C$3:C16))</f>
        <v/>
      </c>
      <c r="C16" s="32"/>
      <c r="D16" s="17"/>
      <c r="E16" s="18"/>
      <c r="F16" s="18"/>
      <c r="G16" s="18"/>
      <c r="H16" s="45" t="str">
        <f>IF(ISBLANK(ElOverlogu[[#This Row],[En]]),"",VLOOKUP(ElOverlogu[[#This Row],[Ürün Cinsi]],Fiyat[[Ölçü]:[Birim Fiyatı]],2,0))</f>
        <v/>
      </c>
      <c r="I16" s="45" t="str">
        <f>IF(ISBLANK(ElOverlogu[[#This Row],[En]]),"",(ElOverlogu[[#This Row],[En]]+ElOverlogu[[#This Row],[Boy]])*ElOverlogu[[#This Row],[ADET]]*2*H16/100)</f>
        <v/>
      </c>
      <c r="J16" s="46" t="str">
        <f>IF(ISBLANK(ElOverlogu[[#This Row],[En]]),"",SUMIF(ElOverlogu[Adı Soyadı],ElOverlogu[[#This Row],[Adı Soyadı]],ElOverlogu[TUTAR]))</f>
        <v/>
      </c>
    </row>
    <row r="17" spans="2:10" ht="16.5" thickTop="1" thickBot="1" x14ac:dyDescent="0.3">
      <c r="B17" s="16" t="str">
        <f>IF(ISBLANK(C17),"",SUBTOTAL(3, $C$3:C17))</f>
        <v/>
      </c>
      <c r="C17" s="32"/>
      <c r="D17" s="17"/>
      <c r="E17" s="18"/>
      <c r="F17" s="18"/>
      <c r="G17" s="18"/>
      <c r="H17" s="45" t="str">
        <f>IF(ISBLANK(ElOverlogu[[#This Row],[En]]),"",VLOOKUP(ElOverlogu[[#This Row],[Ürün Cinsi]],Fiyat[[Ölçü]:[Birim Fiyatı]],2,0))</f>
        <v/>
      </c>
      <c r="I17" s="45" t="str">
        <f>IF(ISBLANK(ElOverlogu[[#This Row],[En]]),"",(ElOverlogu[[#This Row],[En]]+ElOverlogu[[#This Row],[Boy]])*ElOverlogu[[#This Row],[ADET]]*2*H17/100)</f>
        <v/>
      </c>
      <c r="J17" s="46" t="str">
        <f>IF(ISBLANK(ElOverlogu[[#This Row],[En]]),"",SUMIF(ElOverlogu[Adı Soyadı],ElOverlogu[[#This Row],[Adı Soyadı]],ElOverlogu[TUTAR]))</f>
        <v/>
      </c>
    </row>
    <row r="18" spans="2:10" ht="16.5" thickTop="1" thickBot="1" x14ac:dyDescent="0.3">
      <c r="B18" s="16" t="str">
        <f>IF(ISBLANK(C18),"",SUBTOTAL(3, $C$3:C18))</f>
        <v/>
      </c>
      <c r="C18" s="32"/>
      <c r="D18" s="17"/>
      <c r="E18" s="18"/>
      <c r="F18" s="18"/>
      <c r="G18" s="18"/>
      <c r="H18" s="45" t="str">
        <f>IF(ISBLANK(ElOverlogu[[#This Row],[En]]),"",VLOOKUP(ElOverlogu[[#This Row],[Ürün Cinsi]],Fiyat[[Ölçü]:[Birim Fiyatı]],2,0))</f>
        <v/>
      </c>
      <c r="I18" s="45" t="str">
        <f>IF(ISBLANK(ElOverlogu[[#This Row],[En]]),"",(ElOverlogu[[#This Row],[En]]+ElOverlogu[[#This Row],[Boy]])*ElOverlogu[[#This Row],[ADET]]*2*H18/100)</f>
        <v/>
      </c>
      <c r="J18" s="46" t="str">
        <f>IF(ISBLANK(ElOverlogu[[#This Row],[En]]),"",SUMIF(ElOverlogu[Adı Soyadı],ElOverlogu[[#This Row],[Adı Soyadı]],ElOverlogu[TUTAR]))</f>
        <v/>
      </c>
    </row>
    <row r="19" spans="2:10" ht="16.5" thickTop="1" thickBot="1" x14ac:dyDescent="0.3">
      <c r="B19" s="16" t="str">
        <f>IF(ISBLANK(C19),"",SUBTOTAL(3, $C$3:C19))</f>
        <v/>
      </c>
      <c r="C19" s="32"/>
      <c r="D19" s="17"/>
      <c r="E19" s="18"/>
      <c r="F19" s="18"/>
      <c r="G19" s="18"/>
      <c r="H19" s="45" t="str">
        <f>IF(ISBLANK(ElOverlogu[[#This Row],[En]]),"",VLOOKUP(ElOverlogu[[#This Row],[Ürün Cinsi]],Fiyat[[Ölçü]:[Birim Fiyatı]],2,0))</f>
        <v/>
      </c>
      <c r="I19" s="45" t="str">
        <f>IF(ISBLANK(ElOverlogu[[#This Row],[En]]),"",(ElOverlogu[[#This Row],[En]]+ElOverlogu[[#This Row],[Boy]])*ElOverlogu[[#This Row],[ADET]]*2*H19/100)</f>
        <v/>
      </c>
      <c r="J19" s="46" t="str">
        <f>IF(ISBLANK(ElOverlogu[[#This Row],[En]]),"",SUMIF(ElOverlogu[Adı Soyadı],ElOverlogu[[#This Row],[Adı Soyadı]],ElOverlogu[TUTAR]))</f>
        <v/>
      </c>
    </row>
    <row r="20" spans="2:10" ht="16.5" thickTop="1" thickBot="1" x14ac:dyDescent="0.3">
      <c r="B20" s="16" t="str">
        <f>IF(ISBLANK(C20),"",SUBTOTAL(3, $C$3:C20))</f>
        <v/>
      </c>
      <c r="C20" s="32"/>
      <c r="D20" s="17"/>
      <c r="E20" s="18"/>
      <c r="F20" s="18"/>
      <c r="G20" s="18"/>
      <c r="H20" s="45" t="str">
        <f>IF(ISBLANK(ElOverlogu[[#This Row],[En]]),"",VLOOKUP(ElOverlogu[[#This Row],[Ürün Cinsi]],Fiyat[[Ölçü]:[Birim Fiyatı]],2,0))</f>
        <v/>
      </c>
      <c r="I20" s="45" t="str">
        <f>IF(ISBLANK(ElOverlogu[[#This Row],[En]]),"",(ElOverlogu[[#This Row],[En]]+ElOverlogu[[#This Row],[Boy]])*ElOverlogu[[#This Row],[ADET]]*2*H20/100)</f>
        <v/>
      </c>
      <c r="J20" s="46" t="str">
        <f>IF(ISBLANK(ElOverlogu[[#This Row],[En]]),"",SUMIF(ElOverlogu[Adı Soyadı],ElOverlogu[[#This Row],[Adı Soyadı]],ElOverlogu[TUTAR]))</f>
        <v/>
      </c>
    </row>
    <row r="21" spans="2:10" ht="16.5" thickTop="1" thickBot="1" x14ac:dyDescent="0.3">
      <c r="B21" s="16" t="str">
        <f>IF(ISBLANK(C21),"",SUBTOTAL(3, $C$3:C21))</f>
        <v/>
      </c>
      <c r="C21" s="32"/>
      <c r="D21" s="17"/>
      <c r="E21" s="18"/>
      <c r="F21" s="18"/>
      <c r="G21" s="18"/>
      <c r="H21" s="45" t="str">
        <f>IF(ISBLANK(ElOverlogu[[#This Row],[En]]),"",VLOOKUP(ElOverlogu[[#This Row],[Ürün Cinsi]],Fiyat[[Ölçü]:[Birim Fiyatı]],2,0))</f>
        <v/>
      </c>
      <c r="I21" s="45" t="str">
        <f>IF(ISBLANK(ElOverlogu[[#This Row],[En]]),"",(ElOverlogu[[#This Row],[En]]+ElOverlogu[[#This Row],[Boy]])*ElOverlogu[[#This Row],[ADET]]*2*H21/100)</f>
        <v/>
      </c>
      <c r="J21" s="46" t="str">
        <f>IF(ISBLANK(ElOverlogu[[#This Row],[En]]),"",SUMIF(ElOverlogu[Adı Soyadı],ElOverlogu[[#This Row],[Adı Soyadı]],ElOverlogu[TUTAR]))</f>
        <v/>
      </c>
    </row>
    <row r="22" spans="2:10" ht="16.5" thickTop="1" thickBot="1" x14ac:dyDescent="0.3">
      <c r="B22" s="16" t="str">
        <f>IF(ISBLANK(C22),"",SUBTOTAL(3, $C$3:C22))</f>
        <v/>
      </c>
      <c r="C22" s="32"/>
      <c r="D22" s="17"/>
      <c r="E22" s="18"/>
      <c r="F22" s="18"/>
      <c r="G22" s="18"/>
      <c r="H22" s="45" t="str">
        <f>IF(ISBLANK(ElOverlogu[[#This Row],[En]]),"",VLOOKUP(ElOverlogu[[#This Row],[Ürün Cinsi]],Fiyat[[Ölçü]:[Birim Fiyatı]],2,0))</f>
        <v/>
      </c>
      <c r="I22" s="45" t="str">
        <f>IF(ISBLANK(ElOverlogu[[#This Row],[En]]),"",(ElOverlogu[[#This Row],[En]]+ElOverlogu[[#This Row],[Boy]])*ElOverlogu[[#This Row],[ADET]]*2*H22/100)</f>
        <v/>
      </c>
      <c r="J22" s="46" t="str">
        <f>IF(ISBLANK(ElOverlogu[[#This Row],[En]]),"",SUMIF(ElOverlogu[Adı Soyadı],ElOverlogu[[#This Row],[Adı Soyadı]],ElOverlogu[TUTAR]))</f>
        <v/>
      </c>
    </row>
    <row r="23" spans="2:10" ht="16.5" thickTop="1" thickBot="1" x14ac:dyDescent="0.3">
      <c r="B23" s="16" t="str">
        <f>IF(ISBLANK(C23),"",SUBTOTAL(3, $C$3:C23))</f>
        <v/>
      </c>
      <c r="C23" s="32"/>
      <c r="D23" s="17"/>
      <c r="E23" s="18"/>
      <c r="F23" s="18"/>
      <c r="G23" s="18"/>
      <c r="H23" s="45" t="str">
        <f>IF(ISBLANK(ElOverlogu[[#This Row],[En]]),"",VLOOKUP(ElOverlogu[[#This Row],[Ürün Cinsi]],Fiyat[[Ölçü]:[Birim Fiyatı]],2,0))</f>
        <v/>
      </c>
      <c r="I23" s="45" t="str">
        <f>IF(ISBLANK(ElOverlogu[[#This Row],[En]]),"",(ElOverlogu[[#This Row],[En]]+ElOverlogu[[#This Row],[Boy]])*ElOverlogu[[#This Row],[ADET]]*2*H23/100)</f>
        <v/>
      </c>
      <c r="J23" s="46" t="str">
        <f>IF(ISBLANK(ElOverlogu[[#This Row],[En]]),"",SUMIF(ElOverlogu[Adı Soyadı],ElOverlogu[[#This Row],[Adı Soyadı]],ElOverlogu[TUTAR]))</f>
        <v/>
      </c>
    </row>
    <row r="24" spans="2:10" ht="16.5" thickTop="1" thickBot="1" x14ac:dyDescent="0.3">
      <c r="B24" s="16" t="str">
        <f>IF(ISBLANK(C24),"",SUBTOTAL(3, $C$3:C24))</f>
        <v/>
      </c>
      <c r="C24" s="32"/>
      <c r="D24" s="17"/>
      <c r="E24" s="18"/>
      <c r="F24" s="18"/>
      <c r="G24" s="18"/>
      <c r="H24" s="45" t="str">
        <f>IF(ISBLANK(ElOverlogu[[#This Row],[En]]),"",VLOOKUP(ElOverlogu[[#This Row],[Ürün Cinsi]],Fiyat[[Ölçü]:[Birim Fiyatı]],2,0))</f>
        <v/>
      </c>
      <c r="I24" s="45" t="str">
        <f>IF(ISBLANK(ElOverlogu[[#This Row],[En]]),"",(ElOverlogu[[#This Row],[En]]+ElOverlogu[[#This Row],[Boy]])*ElOverlogu[[#This Row],[ADET]]*2*H24/100)</f>
        <v/>
      </c>
      <c r="J24" s="46" t="str">
        <f>IF(ISBLANK(ElOverlogu[[#This Row],[En]]),"",SUMIF(ElOverlogu[Adı Soyadı],ElOverlogu[[#This Row],[Adı Soyadı]],ElOverlogu[TUTAR]))</f>
        <v/>
      </c>
    </row>
    <row r="25" spans="2:10" ht="16.5" thickTop="1" thickBot="1" x14ac:dyDescent="0.3">
      <c r="B25" s="16" t="str">
        <f>IF(ISBLANK(C25),"",SUBTOTAL(3, $C$3:C25))</f>
        <v/>
      </c>
      <c r="C25" s="32"/>
      <c r="D25" s="17"/>
      <c r="E25" s="18"/>
      <c r="F25" s="18"/>
      <c r="G25" s="18"/>
      <c r="H25" s="45" t="str">
        <f>IF(ISBLANK(ElOverlogu[[#This Row],[En]]),"",VLOOKUP(ElOverlogu[[#This Row],[Ürün Cinsi]],Fiyat[[Ölçü]:[Birim Fiyatı]],2,0))</f>
        <v/>
      </c>
      <c r="I25" s="45" t="str">
        <f>IF(ISBLANK(ElOverlogu[[#This Row],[En]]),"",(ElOverlogu[[#This Row],[En]]+ElOverlogu[[#This Row],[Boy]])*ElOverlogu[[#This Row],[ADET]]*2*H25/100)</f>
        <v/>
      </c>
      <c r="J25" s="46" t="str">
        <f>IF(ISBLANK(ElOverlogu[[#This Row],[En]]),"",SUMIF(ElOverlogu[Adı Soyadı],ElOverlogu[[#This Row],[Adı Soyadı]],ElOverlogu[TUTAR]))</f>
        <v/>
      </c>
    </row>
    <row r="26" spans="2:10" ht="16.5" thickTop="1" thickBot="1" x14ac:dyDescent="0.3">
      <c r="B26" s="16" t="str">
        <f>IF(ISBLANK(C26),"",SUBTOTAL(3, $C$3:C26))</f>
        <v/>
      </c>
      <c r="C26" s="32"/>
      <c r="D26" s="17"/>
      <c r="E26" s="18"/>
      <c r="F26" s="18"/>
      <c r="G26" s="18"/>
      <c r="H26" s="45" t="str">
        <f>IF(ISBLANK(ElOverlogu[[#This Row],[En]]),"",VLOOKUP(ElOverlogu[[#This Row],[Ürün Cinsi]],Fiyat[[Ölçü]:[Birim Fiyatı]],2,0))</f>
        <v/>
      </c>
      <c r="I26" s="45" t="str">
        <f>IF(ISBLANK(ElOverlogu[[#This Row],[En]]),"",(ElOverlogu[[#This Row],[En]]+ElOverlogu[[#This Row],[Boy]])*ElOverlogu[[#This Row],[ADET]]*2*H26/100)</f>
        <v/>
      </c>
      <c r="J26" s="46" t="str">
        <f>IF(ISBLANK(ElOverlogu[[#This Row],[En]]),"",SUMIF(ElOverlogu[Adı Soyadı],ElOverlogu[[#This Row],[Adı Soyadı]],ElOverlogu[TUTAR]))</f>
        <v/>
      </c>
    </row>
    <row r="27" spans="2:10" ht="16.5" thickTop="1" thickBot="1" x14ac:dyDescent="0.3">
      <c r="B27" s="16" t="str">
        <f>IF(ISBLANK(C27),"",SUBTOTAL(3, $C$3:C27))</f>
        <v/>
      </c>
      <c r="C27" s="32"/>
      <c r="D27" s="17"/>
      <c r="E27" s="18"/>
      <c r="F27" s="18"/>
      <c r="G27" s="18"/>
      <c r="H27" s="45" t="str">
        <f>IF(ISBLANK(ElOverlogu[[#This Row],[En]]),"",VLOOKUP(ElOverlogu[[#This Row],[Ürün Cinsi]],Fiyat[[Ölçü]:[Birim Fiyatı]],2,0))</f>
        <v/>
      </c>
      <c r="I27" s="45" t="str">
        <f>IF(ISBLANK(ElOverlogu[[#This Row],[En]]),"",(ElOverlogu[[#This Row],[En]]+ElOverlogu[[#This Row],[Boy]])*ElOverlogu[[#This Row],[ADET]]*2*H27/100)</f>
        <v/>
      </c>
      <c r="J27" s="46" t="str">
        <f>IF(ISBLANK(ElOverlogu[[#This Row],[En]]),"",SUMIF(ElOverlogu[Adı Soyadı],ElOverlogu[[#This Row],[Adı Soyadı]],ElOverlogu[TUTAR]))</f>
        <v/>
      </c>
    </row>
    <row r="28" spans="2:10" ht="16.5" thickTop="1" thickBot="1" x14ac:dyDescent="0.3">
      <c r="B28" s="16" t="str">
        <f>IF(ISBLANK(C28),"",SUBTOTAL(3, $C$3:C28))</f>
        <v/>
      </c>
      <c r="C28" s="32"/>
      <c r="D28" s="17"/>
      <c r="E28" s="18"/>
      <c r="F28" s="18"/>
      <c r="G28" s="18"/>
      <c r="H28" s="45" t="str">
        <f>IF(ISBLANK(ElOverlogu[[#This Row],[En]]),"",VLOOKUP(ElOverlogu[[#This Row],[Ürün Cinsi]],Fiyat[[Ölçü]:[Birim Fiyatı]],2,0))</f>
        <v/>
      </c>
      <c r="I28" s="45" t="str">
        <f>IF(ISBLANK(ElOverlogu[[#This Row],[En]]),"",(ElOverlogu[[#This Row],[En]]+ElOverlogu[[#This Row],[Boy]])*ElOverlogu[[#This Row],[ADET]]*2*H28/100)</f>
        <v/>
      </c>
      <c r="J28" s="46" t="str">
        <f>IF(ISBLANK(ElOverlogu[[#This Row],[En]]),"",SUMIF(ElOverlogu[Adı Soyadı],ElOverlogu[[#This Row],[Adı Soyadı]],ElOverlogu[TUTAR]))</f>
        <v/>
      </c>
    </row>
    <row r="29" spans="2:10" ht="16.5" thickTop="1" thickBot="1" x14ac:dyDescent="0.3">
      <c r="B29" s="16" t="str">
        <f>IF(ISBLANK(C29),"",SUBTOTAL(3, $C$3:C29))</f>
        <v/>
      </c>
      <c r="C29" s="32"/>
      <c r="D29" s="17"/>
      <c r="E29" s="18"/>
      <c r="F29" s="18"/>
      <c r="G29" s="18"/>
      <c r="H29" s="45" t="str">
        <f>IF(ISBLANK(ElOverlogu[[#This Row],[En]]),"",VLOOKUP(ElOverlogu[[#This Row],[Ürün Cinsi]],Fiyat[[Ölçü]:[Birim Fiyatı]],2,0))</f>
        <v/>
      </c>
      <c r="I29" s="45" t="str">
        <f>IF(ISBLANK(ElOverlogu[[#This Row],[En]]),"",(ElOverlogu[[#This Row],[En]]+ElOverlogu[[#This Row],[Boy]])*ElOverlogu[[#This Row],[ADET]]*2*H29/100)</f>
        <v/>
      </c>
      <c r="J29" s="46" t="str">
        <f>IF(ISBLANK(ElOverlogu[[#This Row],[En]]),"",SUMIF(ElOverlogu[Adı Soyadı],ElOverlogu[[#This Row],[Adı Soyadı]],ElOverlogu[TUTAR]))</f>
        <v/>
      </c>
    </row>
    <row r="30" spans="2:10" ht="16.5" thickTop="1" thickBot="1" x14ac:dyDescent="0.3">
      <c r="B30" s="16" t="str">
        <f>IF(ISBLANK(C30),"",SUBTOTAL(3, $C$3:C30))</f>
        <v/>
      </c>
      <c r="C30" s="32"/>
      <c r="D30" s="17"/>
      <c r="E30" s="18"/>
      <c r="F30" s="18"/>
      <c r="G30" s="18"/>
      <c r="H30" s="45" t="str">
        <f>IF(ISBLANK(ElOverlogu[[#This Row],[En]]),"",VLOOKUP(ElOverlogu[[#This Row],[Ürün Cinsi]],Fiyat[[Ölçü]:[Birim Fiyatı]],2,0))</f>
        <v/>
      </c>
      <c r="I30" s="45" t="str">
        <f>IF(ISBLANK(ElOverlogu[[#This Row],[En]]),"",(ElOverlogu[[#This Row],[En]]+ElOverlogu[[#This Row],[Boy]])*ElOverlogu[[#This Row],[ADET]]*2*H30/100)</f>
        <v/>
      </c>
      <c r="J30" s="46" t="str">
        <f>IF(ISBLANK(ElOverlogu[[#This Row],[En]]),"",SUMIF(ElOverlogu[Adı Soyadı],ElOverlogu[[#This Row],[Adı Soyadı]],ElOverlogu[TUTAR]))</f>
        <v/>
      </c>
    </row>
    <row r="31" spans="2:10" ht="16.5" thickTop="1" thickBot="1" x14ac:dyDescent="0.3">
      <c r="B31" s="16" t="str">
        <f>IF(ISBLANK(C31),"",SUBTOTAL(3, $C$3:C31))</f>
        <v/>
      </c>
      <c r="C31" s="32"/>
      <c r="D31" s="17"/>
      <c r="E31" s="18"/>
      <c r="F31" s="18"/>
      <c r="G31" s="18"/>
      <c r="H31" s="45" t="str">
        <f>IF(ISBLANK(ElOverlogu[[#This Row],[En]]),"",VLOOKUP(ElOverlogu[[#This Row],[Ürün Cinsi]],Fiyat[[Ölçü]:[Birim Fiyatı]],2,0))</f>
        <v/>
      </c>
      <c r="I31" s="45" t="str">
        <f>IF(ISBLANK(ElOverlogu[[#This Row],[En]]),"",(ElOverlogu[[#This Row],[En]]+ElOverlogu[[#This Row],[Boy]])*ElOverlogu[[#This Row],[ADET]]*2*H31/100)</f>
        <v/>
      </c>
      <c r="J31" s="46" t="str">
        <f>IF(ISBLANK(ElOverlogu[[#This Row],[En]]),"",SUMIF(ElOverlogu[Adı Soyadı],ElOverlogu[[#This Row],[Adı Soyadı]],ElOverlogu[TUTAR]))</f>
        <v/>
      </c>
    </row>
    <row r="32" spans="2:10" ht="16.5" thickTop="1" thickBot="1" x14ac:dyDescent="0.3">
      <c r="B32" s="16" t="str">
        <f>IF(ISBLANK(C32),"",SUBTOTAL(3, $C$3:C32))</f>
        <v/>
      </c>
      <c r="C32" s="32"/>
      <c r="D32" s="17"/>
      <c r="E32" s="18"/>
      <c r="F32" s="18"/>
      <c r="G32" s="18"/>
      <c r="H32" s="45" t="str">
        <f>IF(ISBLANK(ElOverlogu[[#This Row],[En]]),"",VLOOKUP(ElOverlogu[[#This Row],[Ürün Cinsi]],Fiyat[[Ölçü]:[Birim Fiyatı]],2,0))</f>
        <v/>
      </c>
      <c r="I32" s="45" t="str">
        <f>IF(ISBLANK(ElOverlogu[[#This Row],[En]]),"",(ElOverlogu[[#This Row],[En]]+ElOverlogu[[#This Row],[Boy]])*ElOverlogu[[#This Row],[ADET]]*2*H32/100)</f>
        <v/>
      </c>
      <c r="J32" s="46" t="str">
        <f>IF(ISBLANK(ElOverlogu[[#This Row],[En]]),"",SUMIF(ElOverlogu[Adı Soyadı],ElOverlogu[[#This Row],[Adı Soyadı]],ElOverlogu[TUTAR]))</f>
        <v/>
      </c>
    </row>
    <row r="33" spans="2:10" ht="16.5" thickTop="1" thickBot="1" x14ac:dyDescent="0.3">
      <c r="B33" s="16" t="str">
        <f>IF(ISBLANK(C33),"",SUBTOTAL(3, $C$3:C33))</f>
        <v/>
      </c>
      <c r="C33" s="32"/>
      <c r="D33" s="17"/>
      <c r="E33" s="18"/>
      <c r="F33" s="18"/>
      <c r="G33" s="18"/>
      <c r="H33" s="45" t="str">
        <f>IF(ISBLANK(ElOverlogu[[#This Row],[En]]),"",VLOOKUP(ElOverlogu[[#This Row],[Ürün Cinsi]],Fiyat[[Ölçü]:[Birim Fiyatı]],2,0))</f>
        <v/>
      </c>
      <c r="I33" s="45" t="str">
        <f>IF(ISBLANK(ElOverlogu[[#This Row],[En]]),"",(ElOverlogu[[#This Row],[En]]+ElOverlogu[[#This Row],[Boy]])*ElOverlogu[[#This Row],[ADET]]*2*H33/100)</f>
        <v/>
      </c>
      <c r="J33" s="46" t="str">
        <f>IF(ISBLANK(ElOverlogu[[#This Row],[En]]),"",SUMIF(ElOverlogu[Adı Soyadı],ElOverlogu[[#This Row],[Adı Soyadı]],ElOverlogu[TUTAR]))</f>
        <v/>
      </c>
    </row>
    <row r="34" spans="2:10" ht="16.5" thickTop="1" thickBot="1" x14ac:dyDescent="0.3">
      <c r="B34" s="16" t="str">
        <f>IF(ISBLANK(C34),"",SUBTOTAL(3, $C$3:C34))</f>
        <v/>
      </c>
      <c r="C34" s="32"/>
      <c r="D34" s="17"/>
      <c r="E34" s="18"/>
      <c r="F34" s="18"/>
      <c r="G34" s="18"/>
      <c r="H34" s="45" t="str">
        <f>IF(ISBLANK(ElOverlogu[[#This Row],[En]]),"",VLOOKUP(ElOverlogu[[#This Row],[Ürün Cinsi]],Fiyat[[Ölçü]:[Birim Fiyatı]],2,0))</f>
        <v/>
      </c>
      <c r="I34" s="45" t="str">
        <f>IF(ISBLANK(ElOverlogu[[#This Row],[En]]),"",(ElOverlogu[[#This Row],[En]]+ElOverlogu[[#This Row],[Boy]])*ElOverlogu[[#This Row],[ADET]]*2*H34/100)</f>
        <v/>
      </c>
      <c r="J34" s="46" t="str">
        <f>IF(ISBLANK(ElOverlogu[[#This Row],[En]]),"",SUMIF(ElOverlogu[Adı Soyadı],ElOverlogu[[#This Row],[Adı Soyadı]],ElOverlogu[TUTAR]))</f>
        <v/>
      </c>
    </row>
    <row r="35" spans="2:10" ht="16.5" thickTop="1" thickBot="1" x14ac:dyDescent="0.3">
      <c r="B35" s="16" t="str">
        <f>IF(ISBLANK(C35),"",SUBTOTAL(3, $C$3:C35))</f>
        <v/>
      </c>
      <c r="C35" s="32"/>
      <c r="D35" s="17"/>
      <c r="E35" s="18"/>
      <c r="F35" s="18"/>
      <c r="G35" s="18"/>
      <c r="H35" s="45" t="str">
        <f>IF(ISBLANK(ElOverlogu[[#This Row],[En]]),"",VLOOKUP(ElOverlogu[[#This Row],[Ürün Cinsi]],Fiyat[[Ölçü]:[Birim Fiyatı]],2,0))</f>
        <v/>
      </c>
      <c r="I35" s="45" t="str">
        <f>IF(ISBLANK(ElOverlogu[[#This Row],[En]]),"",(ElOverlogu[[#This Row],[En]]+ElOverlogu[[#This Row],[Boy]])*ElOverlogu[[#This Row],[ADET]]*2*H35/100)</f>
        <v/>
      </c>
      <c r="J35" s="46" t="str">
        <f>IF(ISBLANK(ElOverlogu[[#This Row],[En]]),"",SUMIF(ElOverlogu[Adı Soyadı],ElOverlogu[[#This Row],[Adı Soyadı]],ElOverlogu[TUTAR]))</f>
        <v/>
      </c>
    </row>
    <row r="36" spans="2:10" ht="16.5" thickTop="1" thickBot="1" x14ac:dyDescent="0.3">
      <c r="B36" s="16" t="str">
        <f>IF(ISBLANK(C36),"",SUBTOTAL(3, $C$3:C36))</f>
        <v/>
      </c>
      <c r="C36" s="32"/>
      <c r="D36" s="17"/>
      <c r="E36" s="18"/>
      <c r="F36" s="18"/>
      <c r="G36" s="18"/>
      <c r="H36" s="45" t="str">
        <f>IF(ISBLANK(ElOverlogu[[#This Row],[En]]),"",VLOOKUP(ElOverlogu[[#This Row],[Ürün Cinsi]],Fiyat[[Ölçü]:[Birim Fiyatı]],2,0))</f>
        <v/>
      </c>
      <c r="I36" s="45" t="str">
        <f>IF(ISBLANK(ElOverlogu[[#This Row],[En]]),"",(ElOverlogu[[#This Row],[En]]+ElOverlogu[[#This Row],[Boy]])*ElOverlogu[[#This Row],[ADET]]*2*H36/100)</f>
        <v/>
      </c>
      <c r="J36" s="46" t="str">
        <f>IF(ISBLANK(ElOverlogu[[#This Row],[En]]),"",SUMIF(ElOverlogu[Adı Soyadı],ElOverlogu[[#This Row],[Adı Soyadı]],ElOverlogu[TUTAR]))</f>
        <v/>
      </c>
    </row>
    <row r="37" spans="2:10" ht="16.5" thickTop="1" thickBot="1" x14ac:dyDescent="0.3">
      <c r="B37" s="16" t="str">
        <f>IF(ISBLANK(C37),"",SUBTOTAL(3, $C$3:C37))</f>
        <v/>
      </c>
      <c r="C37" s="32"/>
      <c r="D37" s="17"/>
      <c r="E37" s="18"/>
      <c r="F37" s="18"/>
      <c r="G37" s="18"/>
      <c r="H37" s="45" t="str">
        <f>IF(ISBLANK(ElOverlogu[[#This Row],[En]]),"",VLOOKUP(ElOverlogu[[#This Row],[Ürün Cinsi]],Fiyat[[Ölçü]:[Birim Fiyatı]],2,0))</f>
        <v/>
      </c>
      <c r="I37" s="45" t="str">
        <f>IF(ISBLANK(ElOverlogu[[#This Row],[En]]),"",(ElOverlogu[[#This Row],[En]]+ElOverlogu[[#This Row],[Boy]])*ElOverlogu[[#This Row],[ADET]]*2*H37/100)</f>
        <v/>
      </c>
      <c r="J37" s="46" t="str">
        <f>IF(ISBLANK(ElOverlogu[[#This Row],[En]]),"",SUMIF(ElOverlogu[Adı Soyadı],ElOverlogu[[#This Row],[Adı Soyadı]],ElOverlogu[TUTAR]))</f>
        <v/>
      </c>
    </row>
    <row r="38" spans="2:10" ht="16.5" thickTop="1" thickBot="1" x14ac:dyDescent="0.3">
      <c r="B38" s="16" t="str">
        <f>IF(ISBLANK(C38),"",SUBTOTAL(3, $C$3:C38))</f>
        <v/>
      </c>
      <c r="C38" s="32"/>
      <c r="D38" s="17"/>
      <c r="E38" s="18"/>
      <c r="F38" s="18"/>
      <c r="G38" s="18"/>
      <c r="H38" s="45" t="str">
        <f>IF(ISBLANK(ElOverlogu[[#This Row],[En]]),"",VLOOKUP(ElOverlogu[[#This Row],[Ürün Cinsi]],Fiyat[[Ölçü]:[Birim Fiyatı]],2,0))</f>
        <v/>
      </c>
      <c r="I38" s="45" t="str">
        <f>IF(ISBLANK(ElOverlogu[[#This Row],[En]]),"",(ElOverlogu[[#This Row],[En]]+ElOverlogu[[#This Row],[Boy]])*ElOverlogu[[#This Row],[ADET]]*2*H38/100)</f>
        <v/>
      </c>
      <c r="J38" s="46" t="str">
        <f>IF(ISBLANK(ElOverlogu[[#This Row],[En]]),"",SUMIF(ElOverlogu[Adı Soyadı],ElOverlogu[[#This Row],[Adı Soyadı]],ElOverlogu[TUTAR]))</f>
        <v/>
      </c>
    </row>
    <row r="39" spans="2:10" ht="16.5" thickTop="1" thickBot="1" x14ac:dyDescent="0.3">
      <c r="B39" s="16" t="str">
        <f>IF(ISBLANK(C39),"",SUBTOTAL(3, $C$3:C39))</f>
        <v/>
      </c>
      <c r="C39" s="32"/>
      <c r="D39" s="17"/>
      <c r="E39" s="18"/>
      <c r="F39" s="18"/>
      <c r="G39" s="18"/>
      <c r="H39" s="45" t="str">
        <f>IF(ISBLANK(ElOverlogu[[#This Row],[En]]),"",VLOOKUP(ElOverlogu[[#This Row],[Ürün Cinsi]],Fiyat[[Ölçü]:[Birim Fiyatı]],2,0))</f>
        <v/>
      </c>
      <c r="I39" s="45" t="str">
        <f>IF(ISBLANK(ElOverlogu[[#This Row],[En]]),"",(ElOverlogu[[#This Row],[En]]+ElOverlogu[[#This Row],[Boy]])*ElOverlogu[[#This Row],[ADET]]*2*H39/100)</f>
        <v/>
      </c>
      <c r="J39" s="46" t="str">
        <f>IF(ISBLANK(ElOverlogu[[#This Row],[En]]),"",SUMIF(ElOverlogu[Adı Soyadı],ElOverlogu[[#This Row],[Adı Soyadı]],ElOverlogu[TUTAR]))</f>
        <v/>
      </c>
    </row>
    <row r="40" spans="2:10" ht="16.5" thickTop="1" thickBot="1" x14ac:dyDescent="0.3">
      <c r="B40" s="16" t="str">
        <f>IF(ISBLANK(C40),"",SUBTOTAL(3, $C$3:C40))</f>
        <v/>
      </c>
      <c r="C40" s="32"/>
      <c r="D40" s="17"/>
      <c r="E40" s="18"/>
      <c r="F40" s="18"/>
      <c r="G40" s="18"/>
      <c r="H40" s="45" t="str">
        <f>IF(ISBLANK(ElOverlogu[[#This Row],[En]]),"",VLOOKUP(ElOverlogu[[#This Row],[Ürün Cinsi]],Fiyat[[Ölçü]:[Birim Fiyatı]],2,0))</f>
        <v/>
      </c>
      <c r="I40" s="45" t="str">
        <f>IF(ISBLANK(ElOverlogu[[#This Row],[En]]),"",(ElOverlogu[[#This Row],[En]]+ElOverlogu[[#This Row],[Boy]])*ElOverlogu[[#This Row],[ADET]]*2*H40/100)</f>
        <v/>
      </c>
      <c r="J40" s="46" t="str">
        <f>IF(ISBLANK(ElOverlogu[[#This Row],[En]]),"",SUMIF(ElOverlogu[Adı Soyadı],ElOverlogu[[#This Row],[Adı Soyadı]],ElOverlogu[TUTAR]))</f>
        <v/>
      </c>
    </row>
    <row r="41" spans="2:10" ht="16.5" thickTop="1" thickBot="1" x14ac:dyDescent="0.3">
      <c r="B41" s="16" t="str">
        <f>IF(ISBLANK(C41),"",SUBTOTAL(3, $C$3:C41))</f>
        <v/>
      </c>
      <c r="C41" s="32"/>
      <c r="D41" s="17"/>
      <c r="E41" s="18"/>
      <c r="F41" s="18"/>
      <c r="G41" s="18"/>
      <c r="H41" s="45" t="str">
        <f>IF(ISBLANK(ElOverlogu[[#This Row],[En]]),"",VLOOKUP(ElOverlogu[[#This Row],[Ürün Cinsi]],Fiyat[[Ölçü]:[Birim Fiyatı]],2,0))</f>
        <v/>
      </c>
      <c r="I41" s="45" t="str">
        <f>IF(ISBLANK(ElOverlogu[[#This Row],[En]]),"",(ElOverlogu[[#This Row],[En]]+ElOverlogu[[#This Row],[Boy]])*ElOverlogu[[#This Row],[ADET]]*2*H41/100)</f>
        <v/>
      </c>
      <c r="J41" s="46" t="str">
        <f>IF(ISBLANK(ElOverlogu[[#This Row],[En]]),"",SUMIF(ElOverlogu[Adı Soyadı],ElOverlogu[[#This Row],[Adı Soyadı]],ElOverlogu[TUTAR]))</f>
        <v/>
      </c>
    </row>
    <row r="42" spans="2:10" ht="16.5" thickTop="1" thickBot="1" x14ac:dyDescent="0.3">
      <c r="B42" s="16" t="str">
        <f>IF(ISBLANK(C42),"",SUBTOTAL(3, $C$3:C42))</f>
        <v/>
      </c>
      <c r="C42" s="32"/>
      <c r="D42" s="17"/>
      <c r="E42" s="18"/>
      <c r="F42" s="18"/>
      <c r="G42" s="18"/>
      <c r="H42" s="45" t="str">
        <f>IF(ISBLANK(ElOverlogu[[#This Row],[En]]),"",VLOOKUP(ElOverlogu[[#This Row],[Ürün Cinsi]],Fiyat[[Ölçü]:[Birim Fiyatı]],2,0))</f>
        <v/>
      </c>
      <c r="I42" s="45" t="str">
        <f>IF(ISBLANK(ElOverlogu[[#This Row],[En]]),"",(ElOverlogu[[#This Row],[En]]+ElOverlogu[[#This Row],[Boy]])*ElOverlogu[[#This Row],[ADET]]*2*H42/100)</f>
        <v/>
      </c>
      <c r="J42" s="46" t="str">
        <f>IF(ISBLANK(ElOverlogu[[#This Row],[En]]),"",SUMIF(ElOverlogu[Adı Soyadı],ElOverlogu[[#This Row],[Adı Soyadı]],ElOverlogu[TUTAR]))</f>
        <v/>
      </c>
    </row>
    <row r="43" spans="2:10" ht="16.5" thickTop="1" thickBot="1" x14ac:dyDescent="0.3">
      <c r="B43" s="16" t="str">
        <f>IF(ISBLANK(C43),"",SUBTOTAL(3, $C$3:C43))</f>
        <v/>
      </c>
      <c r="C43" s="32"/>
      <c r="D43" s="17"/>
      <c r="E43" s="18"/>
      <c r="F43" s="18"/>
      <c r="G43" s="18"/>
      <c r="H43" s="45" t="str">
        <f>IF(ISBLANK(ElOverlogu[[#This Row],[En]]),"",VLOOKUP(ElOverlogu[[#This Row],[Ürün Cinsi]],Fiyat[[Ölçü]:[Birim Fiyatı]],2,0))</f>
        <v/>
      </c>
      <c r="I43" s="45" t="str">
        <f>IF(ISBLANK(ElOverlogu[[#This Row],[En]]),"",(ElOverlogu[[#This Row],[En]]+ElOverlogu[[#This Row],[Boy]])*ElOverlogu[[#This Row],[ADET]]*2*H43/100)</f>
        <v/>
      </c>
      <c r="J43" s="46" t="str">
        <f>IF(ISBLANK(ElOverlogu[[#This Row],[En]]),"",SUMIF(ElOverlogu[Adı Soyadı],ElOverlogu[[#This Row],[Adı Soyadı]],ElOverlogu[TUTAR]))</f>
        <v/>
      </c>
    </row>
    <row r="44" spans="2:10" ht="16.5" thickTop="1" thickBot="1" x14ac:dyDescent="0.3">
      <c r="B44" s="16" t="str">
        <f>IF(ISBLANK(C44),"",SUBTOTAL(3, $C$3:C44))</f>
        <v/>
      </c>
      <c r="C44" s="32"/>
      <c r="D44" s="17"/>
      <c r="E44" s="18"/>
      <c r="F44" s="18"/>
      <c r="G44" s="18"/>
      <c r="H44" s="45" t="str">
        <f>IF(ISBLANK(ElOverlogu[[#This Row],[En]]),"",VLOOKUP(ElOverlogu[[#This Row],[Ürün Cinsi]],Fiyat[[Ölçü]:[Birim Fiyatı]],2,0))</f>
        <v/>
      </c>
      <c r="I44" s="45" t="str">
        <f>IF(ISBLANK(ElOverlogu[[#This Row],[En]]),"",(ElOverlogu[[#This Row],[En]]+ElOverlogu[[#This Row],[Boy]])*ElOverlogu[[#This Row],[ADET]]*2*H44/100)</f>
        <v/>
      </c>
      <c r="J44" s="46" t="str">
        <f>IF(ISBLANK(ElOverlogu[[#This Row],[En]]),"",SUMIF(ElOverlogu[Adı Soyadı],ElOverlogu[[#This Row],[Adı Soyadı]],ElOverlogu[TUTAR]))</f>
        <v/>
      </c>
    </row>
    <row r="45" spans="2:10" ht="16.5" thickTop="1" thickBot="1" x14ac:dyDescent="0.3">
      <c r="B45" s="16" t="str">
        <f>IF(ISBLANK(C45),"",SUBTOTAL(3, $C$3:C45))</f>
        <v/>
      </c>
      <c r="C45" s="32"/>
      <c r="D45" s="17"/>
      <c r="E45" s="18"/>
      <c r="F45" s="18"/>
      <c r="G45" s="18"/>
      <c r="H45" s="45" t="str">
        <f>IF(ISBLANK(ElOverlogu[[#This Row],[En]]),"",VLOOKUP(ElOverlogu[[#This Row],[Ürün Cinsi]],Fiyat[[Ölçü]:[Birim Fiyatı]],2,0))</f>
        <v/>
      </c>
      <c r="I45" s="45" t="str">
        <f>IF(ISBLANK(ElOverlogu[[#This Row],[En]]),"",(ElOverlogu[[#This Row],[En]]+ElOverlogu[[#This Row],[Boy]])*ElOverlogu[[#This Row],[ADET]]*2*H45/100)</f>
        <v/>
      </c>
      <c r="J45" s="46" t="str">
        <f>IF(ISBLANK(ElOverlogu[[#This Row],[En]]),"",SUMIF(ElOverlogu[Adı Soyadı],ElOverlogu[[#This Row],[Adı Soyadı]],ElOverlogu[TUTAR]))</f>
        <v/>
      </c>
    </row>
    <row r="46" spans="2:10" ht="16.5" thickTop="1" thickBot="1" x14ac:dyDescent="0.3">
      <c r="B46" s="16" t="str">
        <f>IF(ISBLANK(C46),"",SUBTOTAL(3, $C$3:C46))</f>
        <v/>
      </c>
      <c r="C46" s="32"/>
      <c r="D46" s="17"/>
      <c r="E46" s="18"/>
      <c r="F46" s="18"/>
      <c r="G46" s="18"/>
      <c r="H46" s="45" t="str">
        <f>IF(ISBLANK(ElOverlogu[[#This Row],[En]]),"",VLOOKUP(ElOverlogu[[#This Row],[Ürün Cinsi]],Fiyat[[Ölçü]:[Birim Fiyatı]],2,0))</f>
        <v/>
      </c>
      <c r="I46" s="45" t="str">
        <f>IF(ISBLANK(ElOverlogu[[#This Row],[En]]),"",(ElOverlogu[[#This Row],[En]]+ElOverlogu[[#This Row],[Boy]])*ElOverlogu[[#This Row],[ADET]]*2*H46/100)</f>
        <v/>
      </c>
      <c r="J46" s="46" t="str">
        <f>IF(ISBLANK(ElOverlogu[[#This Row],[En]]),"",SUMIF(ElOverlogu[Adı Soyadı],ElOverlogu[[#This Row],[Adı Soyadı]],ElOverlogu[TUTAR]))</f>
        <v/>
      </c>
    </row>
    <row r="47" spans="2:10" ht="16.5" thickTop="1" thickBot="1" x14ac:dyDescent="0.3">
      <c r="B47" s="16" t="str">
        <f>IF(ISBLANK(C47),"",SUBTOTAL(3, $C$3:C47))</f>
        <v/>
      </c>
      <c r="C47" s="32"/>
      <c r="D47" s="17"/>
      <c r="E47" s="18"/>
      <c r="F47" s="18"/>
      <c r="G47" s="18"/>
      <c r="H47" s="45" t="str">
        <f>IF(ISBLANK(ElOverlogu[[#This Row],[En]]),"",VLOOKUP(ElOverlogu[[#This Row],[Ürün Cinsi]],Fiyat[[Ölçü]:[Birim Fiyatı]],2,0))</f>
        <v/>
      </c>
      <c r="I47" s="45" t="str">
        <f>IF(ISBLANK(ElOverlogu[[#This Row],[En]]),"",(ElOverlogu[[#This Row],[En]]+ElOverlogu[[#This Row],[Boy]])*ElOverlogu[[#This Row],[ADET]]*2*H47/100)</f>
        <v/>
      </c>
      <c r="J47" s="46" t="str">
        <f>IF(ISBLANK(ElOverlogu[[#This Row],[En]]),"",SUMIF(ElOverlogu[Adı Soyadı],ElOverlogu[[#This Row],[Adı Soyadı]],ElOverlogu[TUTAR]))</f>
        <v/>
      </c>
    </row>
    <row r="48" spans="2:10" ht="16.5" thickTop="1" thickBot="1" x14ac:dyDescent="0.3">
      <c r="B48" s="16" t="str">
        <f>IF(ISBLANK(C48),"",SUBTOTAL(3, $C$3:C48))</f>
        <v/>
      </c>
      <c r="C48" s="32"/>
      <c r="D48" s="17"/>
      <c r="E48" s="18"/>
      <c r="F48" s="18"/>
      <c r="G48" s="18"/>
      <c r="H48" s="45" t="str">
        <f>IF(ISBLANK(ElOverlogu[[#This Row],[En]]),"",VLOOKUP(ElOverlogu[[#This Row],[Ürün Cinsi]],Fiyat[[Ölçü]:[Birim Fiyatı]],2,0))</f>
        <v/>
      </c>
      <c r="I48" s="45" t="str">
        <f>IF(ISBLANK(ElOverlogu[[#This Row],[En]]),"",(ElOverlogu[[#This Row],[En]]+ElOverlogu[[#This Row],[Boy]])*ElOverlogu[[#This Row],[ADET]]*2*H48/100)</f>
        <v/>
      </c>
      <c r="J48" s="46" t="str">
        <f>IF(ISBLANK(ElOverlogu[[#This Row],[En]]),"",SUMIF(ElOverlogu[Adı Soyadı],ElOverlogu[[#This Row],[Adı Soyadı]],ElOverlogu[TUTAR]))</f>
        <v/>
      </c>
    </row>
    <row r="49" spans="2:10" ht="16.5" thickTop="1" thickBot="1" x14ac:dyDescent="0.3">
      <c r="B49" s="16" t="str">
        <f>IF(ISBLANK(C49),"",SUBTOTAL(3, $C$3:C49))</f>
        <v/>
      </c>
      <c r="C49" s="32"/>
      <c r="D49" s="17"/>
      <c r="E49" s="18"/>
      <c r="F49" s="18"/>
      <c r="G49" s="18"/>
      <c r="H49" s="45" t="str">
        <f>IF(ISBLANK(ElOverlogu[[#This Row],[En]]),"",VLOOKUP(ElOverlogu[[#This Row],[Ürün Cinsi]],Fiyat[[Ölçü]:[Birim Fiyatı]],2,0))</f>
        <v/>
      </c>
      <c r="I49" s="45" t="str">
        <f>IF(ISBLANK(ElOverlogu[[#This Row],[En]]),"",(ElOverlogu[[#This Row],[En]]+ElOverlogu[[#This Row],[Boy]])*ElOverlogu[[#This Row],[ADET]]*2*H49/100)</f>
        <v/>
      </c>
      <c r="J49" s="46" t="str">
        <f>IF(ISBLANK(ElOverlogu[[#This Row],[En]]),"",SUMIF(ElOverlogu[Adı Soyadı],ElOverlogu[[#This Row],[Adı Soyadı]],ElOverlogu[TUTAR]))</f>
        <v/>
      </c>
    </row>
    <row r="50" spans="2:10" ht="16.5" thickTop="1" thickBot="1" x14ac:dyDescent="0.3">
      <c r="B50" s="16" t="str">
        <f>IF(ISBLANK(C50),"",SUBTOTAL(3, $C$3:C50))</f>
        <v/>
      </c>
      <c r="C50" s="32"/>
      <c r="D50" s="17"/>
      <c r="E50" s="18"/>
      <c r="F50" s="18"/>
      <c r="G50" s="18"/>
      <c r="H50" s="45" t="str">
        <f>IF(ISBLANK(ElOverlogu[[#This Row],[En]]),"",VLOOKUP(ElOverlogu[[#This Row],[Ürün Cinsi]],Fiyat[[Ölçü]:[Birim Fiyatı]],2,0))</f>
        <v/>
      </c>
      <c r="I50" s="45" t="str">
        <f>IF(ISBLANK(ElOverlogu[[#This Row],[En]]),"",(ElOverlogu[[#This Row],[En]]+ElOverlogu[[#This Row],[Boy]])*ElOverlogu[[#This Row],[ADET]]*2*H50/100)</f>
        <v/>
      </c>
      <c r="J50" s="46" t="str">
        <f>IF(ISBLANK(ElOverlogu[[#This Row],[En]]),"",SUMIF(ElOverlogu[Adı Soyadı],ElOverlogu[[#This Row],[Adı Soyadı]],ElOverlogu[TUTAR]))</f>
        <v/>
      </c>
    </row>
    <row r="51" spans="2:10" ht="16.5" thickTop="1" thickBot="1" x14ac:dyDescent="0.3">
      <c r="B51" s="16" t="str">
        <f>IF(ISBLANK(C51),"",SUBTOTAL(3, $C$3:C51))</f>
        <v/>
      </c>
      <c r="C51" s="32"/>
      <c r="D51" s="17"/>
      <c r="E51" s="18"/>
      <c r="F51" s="18"/>
      <c r="G51" s="18"/>
      <c r="H51" s="45" t="str">
        <f>IF(ISBLANK(ElOverlogu[[#This Row],[En]]),"",VLOOKUP(ElOverlogu[[#This Row],[Ürün Cinsi]],Fiyat[[Ölçü]:[Birim Fiyatı]],2,0))</f>
        <v/>
      </c>
      <c r="I51" s="45" t="str">
        <f>IF(ISBLANK(ElOverlogu[[#This Row],[En]]),"",(ElOverlogu[[#This Row],[En]]+ElOverlogu[[#This Row],[Boy]])*ElOverlogu[[#This Row],[ADET]]*2*H51/100)</f>
        <v/>
      </c>
      <c r="J51" s="46" t="str">
        <f>IF(ISBLANK(ElOverlogu[[#This Row],[En]]),"",SUMIF(ElOverlogu[Adı Soyadı],ElOverlogu[[#This Row],[Adı Soyadı]],ElOverlogu[TUTAR]))</f>
        <v/>
      </c>
    </row>
    <row r="52" spans="2:10" ht="16.5" thickTop="1" thickBot="1" x14ac:dyDescent="0.3">
      <c r="B52" s="16" t="str">
        <f>IF(ISBLANK(C52),"",SUBTOTAL(3, $C$3:C52))</f>
        <v/>
      </c>
      <c r="C52" s="32"/>
      <c r="D52" s="17"/>
      <c r="E52" s="18"/>
      <c r="F52" s="18"/>
      <c r="G52" s="18"/>
      <c r="H52" s="45" t="str">
        <f>IF(ISBLANK(ElOverlogu[[#This Row],[En]]),"",VLOOKUP(ElOverlogu[[#This Row],[Ürün Cinsi]],Fiyat[[Ölçü]:[Birim Fiyatı]],2,0))</f>
        <v/>
      </c>
      <c r="I52" s="45" t="str">
        <f>IF(ISBLANK(ElOverlogu[[#This Row],[En]]),"",(ElOverlogu[[#This Row],[En]]+ElOverlogu[[#This Row],[Boy]])*ElOverlogu[[#This Row],[ADET]]*2*H52/100)</f>
        <v/>
      </c>
      <c r="J52" s="46" t="str">
        <f>IF(ISBLANK(ElOverlogu[[#This Row],[En]]),"",SUMIF(ElOverlogu[Adı Soyadı],ElOverlogu[[#This Row],[Adı Soyadı]],ElOverlogu[TUTAR]))</f>
        <v/>
      </c>
    </row>
    <row r="53" spans="2:10" ht="16.5" thickTop="1" thickBot="1" x14ac:dyDescent="0.3">
      <c r="B53" s="16" t="str">
        <f>IF(ISBLANK(C53),"",SUBTOTAL(3, $C$3:C53))</f>
        <v/>
      </c>
      <c r="C53" s="32"/>
      <c r="D53" s="17"/>
      <c r="E53" s="18"/>
      <c r="F53" s="18"/>
      <c r="G53" s="18"/>
      <c r="H53" s="45" t="str">
        <f>IF(ISBLANK(ElOverlogu[[#This Row],[En]]),"",VLOOKUP(ElOverlogu[[#This Row],[Ürün Cinsi]],Fiyat[[Ölçü]:[Birim Fiyatı]],2,0))</f>
        <v/>
      </c>
      <c r="I53" s="45" t="str">
        <f>IF(ISBLANK(ElOverlogu[[#This Row],[En]]),"",(ElOverlogu[[#This Row],[En]]+ElOverlogu[[#This Row],[Boy]])*ElOverlogu[[#This Row],[ADET]]*2*H53/100)</f>
        <v/>
      </c>
      <c r="J53" s="46" t="str">
        <f>IF(ISBLANK(ElOverlogu[[#This Row],[En]]),"",SUMIF(ElOverlogu[Adı Soyadı],ElOverlogu[[#This Row],[Adı Soyadı]],ElOverlogu[TUTAR]))</f>
        <v/>
      </c>
    </row>
    <row r="54" spans="2:10" ht="16.5" thickTop="1" thickBot="1" x14ac:dyDescent="0.3">
      <c r="B54" s="16" t="str">
        <f>IF(ISBLANK(C54),"",SUBTOTAL(3, $C$3:C54))</f>
        <v/>
      </c>
      <c r="C54" s="32"/>
      <c r="D54" s="17"/>
      <c r="E54" s="18"/>
      <c r="F54" s="18"/>
      <c r="G54" s="18"/>
      <c r="H54" s="45" t="str">
        <f>IF(ISBLANK(ElOverlogu[[#This Row],[En]]),"",VLOOKUP(ElOverlogu[[#This Row],[Ürün Cinsi]],Fiyat[[Ölçü]:[Birim Fiyatı]],2,0))</f>
        <v/>
      </c>
      <c r="I54" s="45" t="str">
        <f>IF(ISBLANK(ElOverlogu[[#This Row],[En]]),"",(ElOverlogu[[#This Row],[En]]+ElOverlogu[[#This Row],[Boy]])*ElOverlogu[[#This Row],[ADET]]*2*H54/100)</f>
        <v/>
      </c>
      <c r="J54" s="46" t="str">
        <f>IF(ISBLANK(ElOverlogu[[#This Row],[En]]),"",SUMIF(ElOverlogu[Adı Soyadı],ElOverlogu[[#This Row],[Adı Soyadı]],ElOverlogu[TUTAR]))</f>
        <v/>
      </c>
    </row>
    <row r="55" spans="2:10" ht="16.5" thickTop="1" thickBot="1" x14ac:dyDescent="0.3">
      <c r="B55" s="16" t="str">
        <f>IF(ISBLANK(C55),"",SUBTOTAL(3, $C$3:C55))</f>
        <v/>
      </c>
      <c r="C55" s="32"/>
      <c r="D55" s="17"/>
      <c r="E55" s="18"/>
      <c r="F55" s="18"/>
      <c r="G55" s="18"/>
      <c r="H55" s="45" t="str">
        <f>IF(ISBLANK(ElOverlogu[[#This Row],[En]]),"",VLOOKUP(ElOverlogu[[#This Row],[Ürün Cinsi]],Fiyat[[Ölçü]:[Birim Fiyatı]],2,0))</f>
        <v/>
      </c>
      <c r="I55" s="45" t="str">
        <f>IF(ISBLANK(ElOverlogu[[#This Row],[En]]),"",(ElOverlogu[[#This Row],[En]]+ElOverlogu[[#This Row],[Boy]])*ElOverlogu[[#This Row],[ADET]]*2*H55/100)</f>
        <v/>
      </c>
      <c r="J55" s="46" t="str">
        <f>IF(ISBLANK(ElOverlogu[[#This Row],[En]]),"",SUMIF(ElOverlogu[Adı Soyadı],ElOverlogu[[#This Row],[Adı Soyadı]],ElOverlogu[TUTAR]))</f>
        <v/>
      </c>
    </row>
    <row r="56" spans="2:10" ht="16.5" thickTop="1" thickBot="1" x14ac:dyDescent="0.3">
      <c r="B56" s="16" t="str">
        <f>IF(ISBLANK(C56),"",SUBTOTAL(3, $C$3:C56))</f>
        <v/>
      </c>
      <c r="C56" s="32"/>
      <c r="D56" s="17"/>
      <c r="E56" s="18"/>
      <c r="F56" s="18"/>
      <c r="G56" s="18"/>
      <c r="H56" s="45" t="str">
        <f>IF(ISBLANK(ElOverlogu[[#This Row],[En]]),"",VLOOKUP(ElOverlogu[[#This Row],[Ürün Cinsi]],Fiyat[[Ölçü]:[Birim Fiyatı]],2,0))</f>
        <v/>
      </c>
      <c r="I56" s="45" t="str">
        <f>IF(ISBLANK(ElOverlogu[[#This Row],[En]]),"",(ElOverlogu[[#This Row],[En]]+ElOverlogu[[#This Row],[Boy]])*ElOverlogu[[#This Row],[ADET]]*2*H56/100)</f>
        <v/>
      </c>
      <c r="J56" s="46" t="str">
        <f>IF(ISBLANK(ElOverlogu[[#This Row],[En]]),"",SUMIF(ElOverlogu[Adı Soyadı],ElOverlogu[[#This Row],[Adı Soyadı]],ElOverlogu[TUTAR]))</f>
        <v/>
      </c>
    </row>
    <row r="57" spans="2:10" ht="16.5" thickTop="1" thickBot="1" x14ac:dyDescent="0.3">
      <c r="B57" s="16" t="str">
        <f>IF(ISBLANK(C57),"",SUBTOTAL(3, $C$3:C57))</f>
        <v/>
      </c>
      <c r="C57" s="32"/>
      <c r="D57" s="17"/>
      <c r="E57" s="18"/>
      <c r="F57" s="18"/>
      <c r="G57" s="18"/>
      <c r="H57" s="45" t="str">
        <f>IF(ISBLANK(ElOverlogu[[#This Row],[En]]),"",VLOOKUP(ElOverlogu[[#This Row],[Ürün Cinsi]],Fiyat[[Ölçü]:[Birim Fiyatı]],2,0))</f>
        <v/>
      </c>
      <c r="I57" s="45" t="str">
        <f>IF(ISBLANK(ElOverlogu[[#This Row],[En]]),"",(ElOverlogu[[#This Row],[En]]+ElOverlogu[[#This Row],[Boy]])*ElOverlogu[[#This Row],[ADET]]*2*H57/100)</f>
        <v/>
      </c>
      <c r="J57" s="46" t="str">
        <f>IF(ISBLANK(ElOverlogu[[#This Row],[En]]),"",SUMIF(ElOverlogu[Adı Soyadı],ElOverlogu[[#This Row],[Adı Soyadı]],ElOverlogu[TUTAR]))</f>
        <v/>
      </c>
    </row>
    <row r="58" spans="2:10" ht="16.5" thickTop="1" thickBot="1" x14ac:dyDescent="0.3">
      <c r="B58" s="16" t="str">
        <f>IF(ISBLANK(C58),"",SUBTOTAL(3, $C$3:C58))</f>
        <v/>
      </c>
      <c r="C58" s="32"/>
      <c r="D58" s="17"/>
      <c r="E58" s="18"/>
      <c r="F58" s="18"/>
      <c r="G58" s="18"/>
      <c r="H58" s="45" t="str">
        <f>IF(ISBLANK(ElOverlogu[[#This Row],[En]]),"",VLOOKUP(ElOverlogu[[#This Row],[Ürün Cinsi]],Fiyat[[Ölçü]:[Birim Fiyatı]],2,0))</f>
        <v/>
      </c>
      <c r="I58" s="45" t="str">
        <f>IF(ISBLANK(ElOverlogu[[#This Row],[En]]),"",(ElOverlogu[[#This Row],[En]]+ElOverlogu[[#This Row],[Boy]])*ElOverlogu[[#This Row],[ADET]]*2*H58/100)</f>
        <v/>
      </c>
      <c r="J58" s="46" t="str">
        <f>IF(ISBLANK(ElOverlogu[[#This Row],[En]]),"",SUMIF(ElOverlogu[Adı Soyadı],ElOverlogu[[#This Row],[Adı Soyadı]],ElOverlogu[TUTAR]))</f>
        <v/>
      </c>
    </row>
    <row r="59" spans="2:10" ht="16.5" thickTop="1" thickBot="1" x14ac:dyDescent="0.3">
      <c r="B59" s="16" t="str">
        <f>IF(ISBLANK(C59),"",SUBTOTAL(3, $C$3:C59))</f>
        <v/>
      </c>
      <c r="C59" s="32"/>
      <c r="D59" s="17"/>
      <c r="E59" s="18"/>
      <c r="F59" s="18"/>
      <c r="G59" s="18"/>
      <c r="H59" s="45" t="str">
        <f>IF(ISBLANK(ElOverlogu[[#This Row],[En]]),"",VLOOKUP(ElOverlogu[[#This Row],[Ürün Cinsi]],Fiyat[[Ölçü]:[Birim Fiyatı]],2,0))</f>
        <v/>
      </c>
      <c r="I59" s="45" t="str">
        <f>IF(ISBLANK(ElOverlogu[[#This Row],[En]]),"",(ElOverlogu[[#This Row],[En]]+ElOverlogu[[#This Row],[Boy]])*ElOverlogu[[#This Row],[ADET]]*2*H59/100)</f>
        <v/>
      </c>
      <c r="J59" s="46" t="str">
        <f>IF(ISBLANK(ElOverlogu[[#This Row],[En]]),"",SUMIF(ElOverlogu[Adı Soyadı],ElOverlogu[[#This Row],[Adı Soyadı]],ElOverlogu[TUTAR]))</f>
        <v/>
      </c>
    </row>
    <row r="60" spans="2:10" ht="16.5" thickTop="1" thickBot="1" x14ac:dyDescent="0.3">
      <c r="B60" s="16" t="str">
        <f>IF(ISBLANK(C60),"",SUBTOTAL(3, $C$3:C60))</f>
        <v/>
      </c>
      <c r="C60" s="32"/>
      <c r="D60" s="17"/>
      <c r="E60" s="18"/>
      <c r="F60" s="18"/>
      <c r="G60" s="18"/>
      <c r="H60" s="45" t="str">
        <f>IF(ISBLANK(ElOverlogu[[#This Row],[En]]),"",VLOOKUP(ElOverlogu[[#This Row],[Ürün Cinsi]],Fiyat[[Ölçü]:[Birim Fiyatı]],2,0))</f>
        <v/>
      </c>
      <c r="I60" s="45" t="str">
        <f>IF(ISBLANK(ElOverlogu[[#This Row],[En]]),"",(ElOverlogu[[#This Row],[En]]+ElOverlogu[[#This Row],[Boy]])*ElOverlogu[[#This Row],[ADET]]*2*H60/100)</f>
        <v/>
      </c>
      <c r="J60" s="46" t="str">
        <f>IF(ISBLANK(ElOverlogu[[#This Row],[En]]),"",SUMIF(ElOverlogu[Adı Soyadı],ElOverlogu[[#This Row],[Adı Soyadı]],ElOverlogu[TUTAR]))</f>
        <v/>
      </c>
    </row>
    <row r="61" spans="2:10" ht="16.5" thickTop="1" thickBot="1" x14ac:dyDescent="0.3">
      <c r="B61" s="16" t="str">
        <f>IF(ISBLANK(C61),"",SUBTOTAL(3, $C$3:C61))</f>
        <v/>
      </c>
      <c r="C61" s="32"/>
      <c r="D61" s="17"/>
      <c r="E61" s="18"/>
      <c r="F61" s="18"/>
      <c r="G61" s="18"/>
      <c r="H61" s="45" t="str">
        <f>IF(ISBLANK(ElOverlogu[[#This Row],[En]]),"",VLOOKUP(ElOverlogu[[#This Row],[Ürün Cinsi]],Fiyat[[Ölçü]:[Birim Fiyatı]],2,0))</f>
        <v/>
      </c>
      <c r="I61" s="45" t="str">
        <f>IF(ISBLANK(ElOverlogu[[#This Row],[En]]),"",(ElOverlogu[[#This Row],[En]]+ElOverlogu[[#This Row],[Boy]])*ElOverlogu[[#This Row],[ADET]]*2*H61/100)</f>
        <v/>
      </c>
      <c r="J61" s="46" t="str">
        <f>IF(ISBLANK(ElOverlogu[[#This Row],[En]]),"",SUMIF(ElOverlogu[Adı Soyadı],ElOverlogu[[#This Row],[Adı Soyadı]],ElOverlogu[TUTAR]))</f>
        <v/>
      </c>
    </row>
    <row r="62" spans="2:10" ht="16.5" thickTop="1" thickBot="1" x14ac:dyDescent="0.3">
      <c r="B62" s="16" t="str">
        <f>IF(ISBLANK(C62),"",SUBTOTAL(3, $C$3:C62))</f>
        <v/>
      </c>
      <c r="C62" s="32"/>
      <c r="D62" s="17"/>
      <c r="E62" s="18"/>
      <c r="F62" s="18"/>
      <c r="G62" s="18"/>
      <c r="H62" s="45" t="str">
        <f>IF(ISBLANK(ElOverlogu[[#This Row],[En]]),"",VLOOKUP(ElOverlogu[[#This Row],[Ürün Cinsi]],Fiyat[[Ölçü]:[Birim Fiyatı]],2,0))</f>
        <v/>
      </c>
      <c r="I62" s="45" t="str">
        <f>IF(ISBLANK(ElOverlogu[[#This Row],[En]]),"",(ElOverlogu[[#This Row],[En]]+ElOverlogu[[#This Row],[Boy]])*ElOverlogu[[#This Row],[ADET]]*2*H62/100)</f>
        <v/>
      </c>
      <c r="J62" s="46" t="str">
        <f>IF(ISBLANK(ElOverlogu[[#This Row],[En]]),"",SUMIF(ElOverlogu[Adı Soyadı],ElOverlogu[[#This Row],[Adı Soyadı]],ElOverlogu[TUTAR]))</f>
        <v/>
      </c>
    </row>
    <row r="63" spans="2:10" ht="16.5" thickTop="1" thickBot="1" x14ac:dyDescent="0.3">
      <c r="B63" s="16" t="str">
        <f>IF(ISBLANK(C63),"",SUBTOTAL(3, $C$3:C63))</f>
        <v/>
      </c>
      <c r="C63" s="32"/>
      <c r="D63" s="17"/>
      <c r="E63" s="18"/>
      <c r="F63" s="18"/>
      <c r="G63" s="18"/>
      <c r="H63" s="45" t="str">
        <f>IF(ISBLANK(ElOverlogu[[#This Row],[En]]),"",VLOOKUP(ElOverlogu[[#This Row],[Ürün Cinsi]],Fiyat[[Ölçü]:[Birim Fiyatı]],2,0))</f>
        <v/>
      </c>
      <c r="I63" s="45" t="str">
        <f>IF(ISBLANK(ElOverlogu[[#This Row],[En]]),"",(ElOverlogu[[#This Row],[En]]+ElOverlogu[[#This Row],[Boy]])*ElOverlogu[[#This Row],[ADET]]*2*H63/100)</f>
        <v/>
      </c>
      <c r="J63" s="46" t="str">
        <f>IF(ISBLANK(ElOverlogu[[#This Row],[En]]),"",SUMIF(ElOverlogu[Adı Soyadı],ElOverlogu[[#This Row],[Adı Soyadı]],ElOverlogu[TUTAR]))</f>
        <v/>
      </c>
    </row>
    <row r="64" spans="2:10" ht="16.5" thickTop="1" thickBot="1" x14ac:dyDescent="0.3">
      <c r="B64" s="16" t="str">
        <f>IF(ISBLANK(C64),"",SUBTOTAL(3, $C$3:C64))</f>
        <v/>
      </c>
      <c r="C64" s="32"/>
      <c r="D64" s="17"/>
      <c r="E64" s="18"/>
      <c r="F64" s="18"/>
      <c r="G64" s="18"/>
      <c r="H64" s="45" t="str">
        <f>IF(ISBLANK(ElOverlogu[[#This Row],[En]]),"",VLOOKUP(ElOverlogu[[#This Row],[Ürün Cinsi]],Fiyat[[Ölçü]:[Birim Fiyatı]],2,0))</f>
        <v/>
      </c>
      <c r="I64" s="45" t="str">
        <f>IF(ISBLANK(ElOverlogu[[#This Row],[En]]),"",(ElOverlogu[[#This Row],[En]]+ElOverlogu[[#This Row],[Boy]])*ElOverlogu[[#This Row],[ADET]]*2*H64/100)</f>
        <v/>
      </c>
      <c r="J64" s="46" t="str">
        <f>IF(ISBLANK(ElOverlogu[[#This Row],[En]]),"",SUMIF(ElOverlogu[Adı Soyadı],ElOverlogu[[#This Row],[Adı Soyadı]],ElOverlogu[TUTAR]))</f>
        <v/>
      </c>
    </row>
    <row r="65" spans="2:10" ht="16.5" thickTop="1" thickBot="1" x14ac:dyDescent="0.3">
      <c r="B65" s="16" t="str">
        <f>IF(ISBLANK(C65),"",SUBTOTAL(3, $C$3:C65))</f>
        <v/>
      </c>
      <c r="C65" s="32"/>
      <c r="D65" s="17"/>
      <c r="E65" s="18"/>
      <c r="F65" s="18"/>
      <c r="G65" s="18"/>
      <c r="H65" s="45" t="str">
        <f>IF(ISBLANK(ElOverlogu[[#This Row],[En]]),"",VLOOKUP(ElOverlogu[[#This Row],[Ürün Cinsi]],Fiyat[[Ölçü]:[Birim Fiyatı]],2,0))</f>
        <v/>
      </c>
      <c r="I65" s="45" t="str">
        <f>IF(ISBLANK(ElOverlogu[[#This Row],[En]]),"",(ElOverlogu[[#This Row],[En]]+ElOverlogu[[#This Row],[Boy]])*ElOverlogu[[#This Row],[ADET]]*2*H65/100)</f>
        <v/>
      </c>
      <c r="J65" s="46" t="str">
        <f>IF(ISBLANK(ElOverlogu[[#This Row],[En]]),"",SUMIF(ElOverlogu[Adı Soyadı],ElOverlogu[[#This Row],[Adı Soyadı]],ElOverlogu[TUTAR]))</f>
        <v/>
      </c>
    </row>
    <row r="66" spans="2:10" ht="16.5" thickTop="1" thickBot="1" x14ac:dyDescent="0.3">
      <c r="B66" s="16" t="str">
        <f>IF(ISBLANK(C66),"",SUBTOTAL(3, $C$3:C66))</f>
        <v/>
      </c>
      <c r="C66" s="32"/>
      <c r="D66" s="17"/>
      <c r="E66" s="18"/>
      <c r="F66" s="18"/>
      <c r="G66" s="18"/>
      <c r="H66" s="45" t="str">
        <f>IF(ISBLANK(ElOverlogu[[#This Row],[En]]),"",VLOOKUP(ElOverlogu[[#This Row],[Ürün Cinsi]],Fiyat[[Ölçü]:[Birim Fiyatı]],2,0))</f>
        <v/>
      </c>
      <c r="I66" s="45" t="str">
        <f>IF(ISBLANK(ElOverlogu[[#This Row],[En]]),"",(ElOverlogu[[#This Row],[En]]+ElOverlogu[[#This Row],[Boy]])*ElOverlogu[[#This Row],[ADET]]*2*H66/100)</f>
        <v/>
      </c>
      <c r="J66" s="46" t="str">
        <f>IF(ISBLANK(ElOverlogu[[#This Row],[En]]),"",SUMIF(ElOverlogu[Adı Soyadı],ElOverlogu[[#This Row],[Adı Soyadı]],ElOverlogu[TUTAR]))</f>
        <v/>
      </c>
    </row>
    <row r="67" spans="2:10" ht="16.5" thickTop="1" thickBot="1" x14ac:dyDescent="0.3">
      <c r="B67" s="16" t="str">
        <f>IF(ISBLANK(C67),"",SUBTOTAL(3, $C$3:C67))</f>
        <v/>
      </c>
      <c r="C67" s="32"/>
      <c r="D67" s="17"/>
      <c r="E67" s="18"/>
      <c r="F67" s="18"/>
      <c r="G67" s="18"/>
      <c r="H67" s="45" t="str">
        <f>IF(ISBLANK(ElOverlogu[[#This Row],[En]]),"",VLOOKUP(ElOverlogu[[#This Row],[Ürün Cinsi]],Fiyat[[Ölçü]:[Birim Fiyatı]],2,0))</f>
        <v/>
      </c>
      <c r="I67" s="45" t="str">
        <f>IF(ISBLANK(ElOverlogu[[#This Row],[En]]),"",(ElOverlogu[[#This Row],[En]]+ElOverlogu[[#This Row],[Boy]])*ElOverlogu[[#This Row],[ADET]]*2*H67/100)</f>
        <v/>
      </c>
      <c r="J67" s="46" t="str">
        <f>IF(ISBLANK(ElOverlogu[[#This Row],[En]]),"",SUMIF(ElOverlogu[Adı Soyadı],ElOverlogu[[#This Row],[Adı Soyadı]],ElOverlogu[TUTAR]))</f>
        <v/>
      </c>
    </row>
    <row r="68" spans="2:10" ht="16.5" thickTop="1" thickBot="1" x14ac:dyDescent="0.3">
      <c r="B68" s="16" t="str">
        <f>IF(ISBLANK(C68),"",SUBTOTAL(3, $C$3:C68))</f>
        <v/>
      </c>
      <c r="C68" s="32"/>
      <c r="D68" s="17"/>
      <c r="E68" s="18"/>
      <c r="F68" s="18"/>
      <c r="G68" s="18"/>
      <c r="H68" s="45" t="str">
        <f>IF(ISBLANK(ElOverlogu[[#This Row],[En]]),"",VLOOKUP(ElOverlogu[[#This Row],[Ürün Cinsi]],Fiyat[[Ölçü]:[Birim Fiyatı]],2,0))</f>
        <v/>
      </c>
      <c r="I68" s="45" t="str">
        <f>IF(ISBLANK(ElOverlogu[[#This Row],[En]]),"",(ElOverlogu[[#This Row],[En]]+ElOverlogu[[#This Row],[Boy]])*ElOverlogu[[#This Row],[ADET]]*2*H68/100)</f>
        <v/>
      </c>
      <c r="J68" s="46" t="str">
        <f>IF(ISBLANK(ElOverlogu[[#This Row],[En]]),"",SUMIF(ElOverlogu[Adı Soyadı],ElOverlogu[[#This Row],[Adı Soyadı]],ElOverlogu[TUTAR]))</f>
        <v/>
      </c>
    </row>
    <row r="69" spans="2:10" ht="16.5" thickTop="1" thickBot="1" x14ac:dyDescent="0.3">
      <c r="B69" s="16" t="str">
        <f>IF(ISBLANK(C69),"",SUBTOTAL(3, $C$3:C69))</f>
        <v/>
      </c>
      <c r="C69" s="32"/>
      <c r="D69" s="17"/>
      <c r="E69" s="18"/>
      <c r="F69" s="18"/>
      <c r="G69" s="18"/>
      <c r="H69" s="45" t="str">
        <f>IF(ISBLANK(ElOverlogu[[#This Row],[En]]),"",VLOOKUP(ElOverlogu[[#This Row],[Ürün Cinsi]],Fiyat[[Ölçü]:[Birim Fiyatı]],2,0))</f>
        <v/>
      </c>
      <c r="I69" s="45" t="str">
        <f>IF(ISBLANK(ElOverlogu[[#This Row],[En]]),"",(ElOverlogu[[#This Row],[En]]+ElOverlogu[[#This Row],[Boy]])*ElOverlogu[[#This Row],[ADET]]*2*H69/100)</f>
        <v/>
      </c>
      <c r="J69" s="46" t="str">
        <f>IF(ISBLANK(ElOverlogu[[#This Row],[En]]),"",SUMIF(ElOverlogu[Adı Soyadı],ElOverlogu[[#This Row],[Adı Soyadı]],ElOverlogu[TUTAR]))</f>
        <v/>
      </c>
    </row>
    <row r="70" spans="2:10" ht="16.5" thickTop="1" thickBot="1" x14ac:dyDescent="0.3">
      <c r="B70" s="16" t="str">
        <f>IF(ISBLANK(C70),"",SUBTOTAL(3, $C$3:C70))</f>
        <v/>
      </c>
      <c r="C70" s="32"/>
      <c r="D70" s="17"/>
      <c r="E70" s="18"/>
      <c r="F70" s="18"/>
      <c r="G70" s="18"/>
      <c r="H70" s="45" t="str">
        <f>IF(ISBLANK(ElOverlogu[[#This Row],[En]]),"",VLOOKUP(ElOverlogu[[#This Row],[Ürün Cinsi]],Fiyat[[Ölçü]:[Birim Fiyatı]],2,0))</f>
        <v/>
      </c>
      <c r="I70" s="45" t="str">
        <f>IF(ISBLANK(ElOverlogu[[#This Row],[En]]),"",(ElOverlogu[[#This Row],[En]]+ElOverlogu[[#This Row],[Boy]])*ElOverlogu[[#This Row],[ADET]]*2*H70/100)</f>
        <v/>
      </c>
      <c r="J70" s="46" t="str">
        <f>IF(ISBLANK(ElOverlogu[[#This Row],[En]]),"",SUMIF(ElOverlogu[Adı Soyadı],ElOverlogu[[#This Row],[Adı Soyadı]],ElOverlogu[TUTAR]))</f>
        <v/>
      </c>
    </row>
    <row r="71" spans="2:10" ht="16.5" thickTop="1" thickBot="1" x14ac:dyDescent="0.3">
      <c r="B71" s="16" t="str">
        <f>IF(ISBLANK(C71),"",SUBTOTAL(3, $C$3:C71))</f>
        <v/>
      </c>
      <c r="C71" s="32"/>
      <c r="D71" s="17"/>
      <c r="E71" s="18"/>
      <c r="F71" s="18"/>
      <c r="G71" s="18"/>
      <c r="H71" s="45" t="str">
        <f>IF(ISBLANK(ElOverlogu[[#This Row],[En]]),"",VLOOKUP(ElOverlogu[[#This Row],[Ürün Cinsi]],Fiyat[[Ölçü]:[Birim Fiyatı]],2,0))</f>
        <v/>
      </c>
      <c r="I71" s="45" t="str">
        <f>IF(ISBLANK(ElOverlogu[[#This Row],[En]]),"",(ElOverlogu[[#This Row],[En]]+ElOverlogu[[#This Row],[Boy]])*ElOverlogu[[#This Row],[ADET]]*2*H71/100)</f>
        <v/>
      </c>
      <c r="J71" s="46" t="str">
        <f>IF(ISBLANK(ElOverlogu[[#This Row],[En]]),"",SUMIF(ElOverlogu[Adı Soyadı],ElOverlogu[[#This Row],[Adı Soyadı]],ElOverlogu[TUTAR]))</f>
        <v/>
      </c>
    </row>
    <row r="72" spans="2:10" ht="16.5" thickTop="1" thickBot="1" x14ac:dyDescent="0.3">
      <c r="B72" s="16" t="str">
        <f>IF(ISBLANK(C72),"",SUBTOTAL(3, $C$3:C72))</f>
        <v/>
      </c>
      <c r="C72" s="32"/>
      <c r="D72" s="17"/>
      <c r="E72" s="18"/>
      <c r="F72" s="18"/>
      <c r="G72" s="18"/>
      <c r="H72" s="45" t="str">
        <f>IF(ISBLANK(ElOverlogu[[#This Row],[En]]),"",VLOOKUP(ElOverlogu[[#This Row],[Ürün Cinsi]],Fiyat[[Ölçü]:[Birim Fiyatı]],2,0))</f>
        <v/>
      </c>
      <c r="I72" s="45" t="str">
        <f>IF(ISBLANK(ElOverlogu[[#This Row],[En]]),"",(ElOverlogu[[#This Row],[En]]+ElOverlogu[[#This Row],[Boy]])*ElOverlogu[[#This Row],[ADET]]*2*H72/100)</f>
        <v/>
      </c>
      <c r="J72" s="46" t="str">
        <f>IF(ISBLANK(ElOverlogu[[#This Row],[En]]),"",SUMIF(ElOverlogu[Adı Soyadı],ElOverlogu[[#This Row],[Adı Soyadı]],ElOverlogu[TUTAR]))</f>
        <v/>
      </c>
    </row>
    <row r="73" spans="2:10" ht="16.5" thickTop="1" thickBot="1" x14ac:dyDescent="0.3">
      <c r="B73" s="16" t="str">
        <f>IF(ISBLANK(C73),"",SUBTOTAL(3, $C$3:C73))</f>
        <v/>
      </c>
      <c r="C73" s="32"/>
      <c r="D73" s="17"/>
      <c r="E73" s="18"/>
      <c r="F73" s="18"/>
      <c r="G73" s="18"/>
      <c r="H73" s="45" t="str">
        <f>IF(ISBLANK(ElOverlogu[[#This Row],[En]]),"",VLOOKUP(ElOverlogu[[#This Row],[Ürün Cinsi]],Fiyat[[Ölçü]:[Birim Fiyatı]],2,0))</f>
        <v/>
      </c>
      <c r="I73" s="45" t="str">
        <f>IF(ISBLANK(ElOverlogu[[#This Row],[En]]),"",(ElOverlogu[[#This Row],[En]]+ElOverlogu[[#This Row],[Boy]])*ElOverlogu[[#This Row],[ADET]]*2*H73/100)</f>
        <v/>
      </c>
      <c r="J73" s="46" t="str">
        <f>IF(ISBLANK(ElOverlogu[[#This Row],[En]]),"",SUMIF(ElOverlogu[Adı Soyadı],ElOverlogu[[#This Row],[Adı Soyadı]],ElOverlogu[TUTAR]))</f>
        <v/>
      </c>
    </row>
    <row r="74" spans="2:10" ht="16.5" thickTop="1" thickBot="1" x14ac:dyDescent="0.3">
      <c r="B74" s="16" t="str">
        <f>IF(ISBLANK(C74),"",SUBTOTAL(3, $C$3:C74))</f>
        <v/>
      </c>
      <c r="C74" s="32"/>
      <c r="D74" s="17"/>
      <c r="E74" s="18"/>
      <c r="F74" s="18"/>
      <c r="G74" s="18"/>
      <c r="H74" s="45" t="str">
        <f>IF(ISBLANK(ElOverlogu[[#This Row],[En]]),"",VLOOKUP(ElOverlogu[[#This Row],[Ürün Cinsi]],Fiyat[[Ölçü]:[Birim Fiyatı]],2,0))</f>
        <v/>
      </c>
      <c r="I74" s="45" t="str">
        <f>IF(ISBLANK(ElOverlogu[[#This Row],[En]]),"",(ElOverlogu[[#This Row],[En]]+ElOverlogu[[#This Row],[Boy]])*ElOverlogu[[#This Row],[ADET]]*2*H74/100)</f>
        <v/>
      </c>
      <c r="J74" s="46" t="str">
        <f>IF(ISBLANK(ElOverlogu[[#This Row],[En]]),"",SUMIF(ElOverlogu[Adı Soyadı],ElOverlogu[[#This Row],[Adı Soyadı]],ElOverlogu[TUTAR]))</f>
        <v/>
      </c>
    </row>
    <row r="75" spans="2:10" ht="16.5" thickTop="1" thickBot="1" x14ac:dyDescent="0.3">
      <c r="B75" s="16" t="str">
        <f>IF(ISBLANK(C75),"",SUBTOTAL(3, $C$3:C75))</f>
        <v/>
      </c>
      <c r="C75" s="32"/>
      <c r="D75" s="17"/>
      <c r="E75" s="18"/>
      <c r="F75" s="18"/>
      <c r="G75" s="18"/>
      <c r="H75" s="45" t="str">
        <f>IF(ISBLANK(ElOverlogu[[#This Row],[En]]),"",VLOOKUP(ElOverlogu[[#This Row],[Ürün Cinsi]],Fiyat[[Ölçü]:[Birim Fiyatı]],2,0))</f>
        <v/>
      </c>
      <c r="I75" s="45" t="str">
        <f>IF(ISBLANK(ElOverlogu[[#This Row],[En]]),"",(ElOverlogu[[#This Row],[En]]+ElOverlogu[[#This Row],[Boy]])*ElOverlogu[[#This Row],[ADET]]*2*H75/100)</f>
        <v/>
      </c>
      <c r="J75" s="46" t="str">
        <f>IF(ISBLANK(ElOverlogu[[#This Row],[En]]),"",SUMIF(ElOverlogu[Adı Soyadı],ElOverlogu[[#This Row],[Adı Soyadı]],ElOverlogu[TUTAR]))</f>
        <v/>
      </c>
    </row>
    <row r="76" spans="2:10" ht="16.5" thickTop="1" thickBot="1" x14ac:dyDescent="0.3">
      <c r="B76" s="16" t="str">
        <f>IF(ISBLANK(C76),"",SUBTOTAL(3, $C$3:C76))</f>
        <v/>
      </c>
      <c r="C76" s="32"/>
      <c r="D76" s="17"/>
      <c r="E76" s="18"/>
      <c r="F76" s="18"/>
      <c r="G76" s="18"/>
      <c r="H76" s="45" t="str">
        <f>IF(ISBLANK(ElOverlogu[[#This Row],[En]]),"",VLOOKUP(ElOverlogu[[#This Row],[Ürün Cinsi]],Fiyat[[Ölçü]:[Birim Fiyatı]],2,0))</f>
        <v/>
      </c>
      <c r="I76" s="45" t="str">
        <f>IF(ISBLANK(ElOverlogu[[#This Row],[En]]),"",(ElOverlogu[[#This Row],[En]]+ElOverlogu[[#This Row],[Boy]])*ElOverlogu[[#This Row],[ADET]]*2*H76/100)</f>
        <v/>
      </c>
      <c r="J76" s="46" t="str">
        <f>IF(ISBLANK(ElOverlogu[[#This Row],[En]]),"",SUMIF(ElOverlogu[Adı Soyadı],ElOverlogu[[#This Row],[Adı Soyadı]],ElOverlogu[TUTAR]))</f>
        <v/>
      </c>
    </row>
    <row r="77" spans="2:10" ht="15.75" thickTop="1" x14ac:dyDescent="0.25">
      <c r="B77" s="11" t="str">
        <f>IF(ISBLANK(C77),"",SUBTOTAL(3, $C$3:C77))</f>
        <v/>
      </c>
      <c r="C77" s="33"/>
      <c r="D77" s="12"/>
      <c r="E77" s="13"/>
      <c r="F77" s="13"/>
      <c r="G77" s="13"/>
      <c r="H77" s="48" t="str">
        <f>IF(ISBLANK(ElOverlogu[[#This Row],[En]]),"",VLOOKUP(ElOverlogu[[#This Row],[Ürün Cinsi]],Fiyat[[Ölçü]:[Birim Fiyatı]],2,0))</f>
        <v/>
      </c>
      <c r="I77" s="48" t="str">
        <f>IF(ISBLANK(ElOverlogu[[#This Row],[En]]),"",(ElOverlogu[[#This Row],[En]]+ElOverlogu[[#This Row],[Boy]])*ElOverlogu[[#This Row],[ADET]]*2*H77/100)</f>
        <v/>
      </c>
      <c r="J77" s="14" t="str">
        <f>IF(ISBLANK(ElOverlogu[[#This Row],[En]]),"",SUMIF(ElOverlogu[Adı Soyadı],ElOverlogu[[#This Row],[Adı Soyadı]],ElOverlogu[TUTAR]))</f>
        <v/>
      </c>
    </row>
    <row r="78" spans="2:10" x14ac:dyDescent="0.25">
      <c r="B78" s="1" t="str">
        <f>IF(ISBLANK(C78),"",SUBTOTAL(3, $C$3:C78))</f>
        <v/>
      </c>
      <c r="C78" s="34"/>
      <c r="D78" s="6"/>
      <c r="E78" s="7"/>
      <c r="F78" s="7"/>
      <c r="G78" s="7"/>
      <c r="H78" s="49" t="str">
        <f>IF(ISBLANK(ElOverlogu[[#This Row],[En]]),"",VLOOKUP(ElOverlogu[[#This Row],[Ürün Cinsi]],Fiyat[[Ölçü]:[Birim Fiyatı]],2,0))</f>
        <v/>
      </c>
      <c r="I78" s="49" t="str">
        <f>IF(ISBLANK(ElOverlogu[[#This Row],[En]]),"",(ElOverlogu[[#This Row],[En]]+ElOverlogu[[#This Row],[Boy]])*ElOverlogu[[#This Row],[ADET]]*2*H78/100)</f>
        <v/>
      </c>
      <c r="J78" s="2" t="str">
        <f>IF(ISBLANK(ElOverlogu[[#This Row],[En]]),"",SUMIF(ElOverlogu[Adı Soyadı],ElOverlogu[[#This Row],[Adı Soyadı]],ElOverlogu[TUTAR]))</f>
        <v/>
      </c>
    </row>
    <row r="79" spans="2:10" x14ac:dyDescent="0.25">
      <c r="B79" s="1" t="str">
        <f>IF(ISBLANK(C79),"",SUBTOTAL(3, $C$3:C79))</f>
        <v/>
      </c>
      <c r="C79" s="34"/>
      <c r="D79" s="6"/>
      <c r="E79" s="7"/>
      <c r="F79" s="7"/>
      <c r="G79" s="7"/>
      <c r="H79" s="49" t="str">
        <f>IF(ISBLANK(ElOverlogu[[#This Row],[En]]),"",VLOOKUP(ElOverlogu[[#This Row],[Ürün Cinsi]],Fiyat[[Ölçü]:[Birim Fiyatı]],2,0))</f>
        <v/>
      </c>
      <c r="I79" s="49" t="str">
        <f>IF(ISBLANK(ElOverlogu[[#This Row],[En]]),"",(ElOverlogu[[#This Row],[En]]+ElOverlogu[[#This Row],[Boy]])*ElOverlogu[[#This Row],[ADET]]*2*H79/100)</f>
        <v/>
      </c>
      <c r="J79" s="2" t="str">
        <f>IF(ISBLANK(ElOverlogu[[#This Row],[En]]),"",SUMIF(ElOverlogu[Adı Soyadı],ElOverlogu[[#This Row],[Adı Soyadı]],ElOverlogu[TUTAR]))</f>
        <v/>
      </c>
    </row>
    <row r="80" spans="2:10" x14ac:dyDescent="0.25">
      <c r="B80" s="1" t="str">
        <f>IF(ISBLANK(C80),"",SUBTOTAL(3, $C$3:C80))</f>
        <v/>
      </c>
      <c r="C80" s="34"/>
      <c r="D80" s="6"/>
      <c r="E80" s="7"/>
      <c r="F80" s="7"/>
      <c r="G80" s="7"/>
      <c r="H80" s="49" t="str">
        <f>IF(ISBLANK(ElOverlogu[[#This Row],[En]]),"",VLOOKUP(ElOverlogu[[#This Row],[Ürün Cinsi]],Fiyat[[Ölçü]:[Birim Fiyatı]],2,0))</f>
        <v/>
      </c>
      <c r="I80" s="49" t="str">
        <f>IF(ISBLANK(ElOverlogu[[#This Row],[En]]),"",(ElOverlogu[[#This Row],[En]]+ElOverlogu[[#This Row],[Boy]])*ElOverlogu[[#This Row],[ADET]]*2*H80/100)</f>
        <v/>
      </c>
      <c r="J80" s="2" t="str">
        <f>IF(ISBLANK(ElOverlogu[[#This Row],[En]]),"",SUMIF(ElOverlogu[Adı Soyadı],ElOverlogu[[#This Row],[Adı Soyadı]],ElOverlogu[TUTAR]))</f>
        <v/>
      </c>
    </row>
    <row r="81" spans="2:10" x14ac:dyDescent="0.25">
      <c r="B81" s="1" t="str">
        <f>IF(ISBLANK(C81),"",SUBTOTAL(3, $C$3:C81))</f>
        <v/>
      </c>
      <c r="C81" s="34"/>
      <c r="D81" s="6"/>
      <c r="E81" s="7"/>
      <c r="F81" s="7"/>
      <c r="G81" s="7"/>
      <c r="H81" s="49" t="str">
        <f>IF(ISBLANK(ElOverlogu[[#This Row],[En]]),"",VLOOKUP(ElOverlogu[[#This Row],[Ürün Cinsi]],Fiyat[[Ölçü]:[Birim Fiyatı]],2,0))</f>
        <v/>
      </c>
      <c r="I81" s="49" t="str">
        <f>IF(ISBLANK(ElOverlogu[[#This Row],[En]]),"",(ElOverlogu[[#This Row],[En]]+ElOverlogu[[#This Row],[Boy]])*ElOverlogu[[#This Row],[ADET]]*2*H81/100)</f>
        <v/>
      </c>
      <c r="J81" s="2" t="str">
        <f>IF(ISBLANK(ElOverlogu[[#This Row],[En]]),"",SUMIF(ElOverlogu[Adı Soyadı],ElOverlogu[[#This Row],[Adı Soyadı]],ElOverlogu[TUTAR]))</f>
        <v/>
      </c>
    </row>
    <row r="82" spans="2:10" x14ac:dyDescent="0.25">
      <c r="B82" s="1" t="str">
        <f>IF(ISBLANK(C82),"",SUBTOTAL(3, $C$3:C82))</f>
        <v/>
      </c>
      <c r="C82" s="34"/>
      <c r="D82" s="6"/>
      <c r="E82" s="7"/>
      <c r="F82" s="7"/>
      <c r="G82" s="7"/>
      <c r="H82" s="49" t="str">
        <f>IF(ISBLANK(ElOverlogu[[#This Row],[En]]),"",VLOOKUP(ElOverlogu[[#This Row],[Ürün Cinsi]],Fiyat[[Ölçü]:[Birim Fiyatı]],2,0))</f>
        <v/>
      </c>
      <c r="I82" s="49" t="str">
        <f>IF(ISBLANK(ElOverlogu[[#This Row],[En]]),"",(ElOverlogu[[#This Row],[En]]+ElOverlogu[[#This Row],[Boy]])*ElOverlogu[[#This Row],[ADET]]*2*H82/100)</f>
        <v/>
      </c>
      <c r="J82" s="2" t="str">
        <f>IF(ISBLANK(ElOverlogu[[#This Row],[En]]),"",SUMIF(ElOverlogu[Adı Soyadı],ElOverlogu[[#This Row],[Adı Soyadı]],ElOverlogu[TUTAR]))</f>
        <v/>
      </c>
    </row>
    <row r="83" spans="2:10" x14ac:dyDescent="0.25">
      <c r="B83" s="1" t="str">
        <f>IF(ISBLANK(C83),"",SUBTOTAL(3, $C$3:C83))</f>
        <v/>
      </c>
      <c r="C83" s="34"/>
      <c r="D83" s="6"/>
      <c r="E83" s="7"/>
      <c r="F83" s="7"/>
      <c r="G83" s="7"/>
      <c r="H83" s="49" t="str">
        <f>IF(ISBLANK(ElOverlogu[[#This Row],[En]]),"",VLOOKUP(ElOverlogu[[#This Row],[Ürün Cinsi]],Fiyat[[Ölçü]:[Birim Fiyatı]],2,0))</f>
        <v/>
      </c>
      <c r="I83" s="49" t="str">
        <f>IF(ISBLANK(ElOverlogu[[#This Row],[En]]),"",(ElOverlogu[[#This Row],[En]]+ElOverlogu[[#This Row],[Boy]])*ElOverlogu[[#This Row],[ADET]]*2*H83/100)</f>
        <v/>
      </c>
      <c r="J83" s="2" t="str">
        <f>IF(ISBLANK(ElOverlogu[[#This Row],[En]]),"",SUMIF(ElOverlogu[Adı Soyadı],ElOverlogu[[#This Row],[Adı Soyadı]],ElOverlogu[TUTAR]))</f>
        <v/>
      </c>
    </row>
    <row r="84" spans="2:10" x14ac:dyDescent="0.25">
      <c r="B84" s="1" t="str">
        <f>IF(ISBLANK(C84),"",SUBTOTAL(3, $C$3:C84))</f>
        <v/>
      </c>
      <c r="C84" s="34"/>
      <c r="D84" s="6"/>
      <c r="E84" s="7"/>
      <c r="F84" s="7"/>
      <c r="G84" s="7"/>
      <c r="H84" s="49" t="str">
        <f>IF(ISBLANK(ElOverlogu[[#This Row],[En]]),"",VLOOKUP(ElOverlogu[[#This Row],[Ürün Cinsi]],Fiyat[[Ölçü]:[Birim Fiyatı]],2,0))</f>
        <v/>
      </c>
      <c r="I84" s="49" t="str">
        <f>IF(ISBLANK(ElOverlogu[[#This Row],[En]]),"",(ElOverlogu[[#This Row],[En]]+ElOverlogu[[#This Row],[Boy]])*ElOverlogu[[#This Row],[ADET]]*2*H84/100)</f>
        <v/>
      </c>
      <c r="J84" s="2" t="str">
        <f>IF(ISBLANK(ElOverlogu[[#This Row],[En]]),"",SUMIF(ElOverlogu[Adı Soyadı],ElOverlogu[[#This Row],[Adı Soyadı]],ElOverlogu[TUTAR]))</f>
        <v/>
      </c>
    </row>
    <row r="85" spans="2:10" x14ac:dyDescent="0.25">
      <c r="B85" s="1" t="str">
        <f>IF(ISBLANK(C85),"",SUBTOTAL(3, $C$3:C85))</f>
        <v/>
      </c>
      <c r="C85" s="34"/>
      <c r="D85" s="6"/>
      <c r="E85" s="7"/>
      <c r="F85" s="7"/>
      <c r="G85" s="7"/>
      <c r="H85" s="49" t="str">
        <f>IF(ISBLANK(ElOverlogu[[#This Row],[En]]),"",VLOOKUP(ElOverlogu[[#This Row],[Ürün Cinsi]],Fiyat[[Ölçü]:[Birim Fiyatı]],2,0))</f>
        <v/>
      </c>
      <c r="I85" s="49" t="str">
        <f>IF(ISBLANK(ElOverlogu[[#This Row],[En]]),"",(ElOverlogu[[#This Row],[En]]+ElOverlogu[[#This Row],[Boy]])*ElOverlogu[[#This Row],[ADET]]*2*H85/100)</f>
        <v/>
      </c>
      <c r="J85" s="2" t="str">
        <f>IF(ISBLANK(ElOverlogu[[#This Row],[En]]),"",SUMIF(ElOverlogu[Adı Soyadı],ElOverlogu[[#This Row],[Adı Soyadı]],ElOverlogu[TUTAR]))</f>
        <v/>
      </c>
    </row>
    <row r="86" spans="2:10" x14ac:dyDescent="0.25">
      <c r="B86" s="1" t="str">
        <f>IF(ISBLANK(C86),"",SUBTOTAL(3, $C$3:C86))</f>
        <v/>
      </c>
      <c r="C86" s="34"/>
      <c r="D86" s="6"/>
      <c r="E86" s="7"/>
      <c r="F86" s="7"/>
      <c r="G86" s="7"/>
      <c r="H86" s="49" t="str">
        <f>IF(ISBLANK(ElOverlogu[[#This Row],[En]]),"",VLOOKUP(ElOverlogu[[#This Row],[Ürün Cinsi]],Fiyat[[Ölçü]:[Birim Fiyatı]],2,0))</f>
        <v/>
      </c>
      <c r="I86" s="49" t="str">
        <f>IF(ISBLANK(ElOverlogu[[#This Row],[En]]),"",(ElOverlogu[[#This Row],[En]]+ElOverlogu[[#This Row],[Boy]])*ElOverlogu[[#This Row],[ADET]]*2*H86/100)</f>
        <v/>
      </c>
      <c r="J86" s="2" t="str">
        <f>IF(ISBLANK(ElOverlogu[[#This Row],[En]]),"",SUMIF(ElOverlogu[Adı Soyadı],ElOverlogu[[#This Row],[Adı Soyadı]],ElOverlogu[TUTAR]))</f>
        <v/>
      </c>
    </row>
    <row r="87" spans="2:10" x14ac:dyDescent="0.25">
      <c r="B87" s="1" t="str">
        <f>IF(ISBLANK(C87),"",SUBTOTAL(3, $C$3:C87))</f>
        <v/>
      </c>
      <c r="C87" s="34"/>
      <c r="D87" s="6"/>
      <c r="E87" s="7"/>
      <c r="F87" s="7"/>
      <c r="G87" s="7"/>
      <c r="H87" s="49" t="str">
        <f>IF(ISBLANK(ElOverlogu[[#This Row],[En]]),"",VLOOKUP(ElOverlogu[[#This Row],[Ürün Cinsi]],Fiyat[[Ölçü]:[Birim Fiyatı]],2,0))</f>
        <v/>
      </c>
      <c r="I87" s="49" t="str">
        <f>IF(ISBLANK(ElOverlogu[[#This Row],[En]]),"",(ElOverlogu[[#This Row],[En]]+ElOverlogu[[#This Row],[Boy]])*ElOverlogu[[#This Row],[ADET]]*2*H87/100)</f>
        <v/>
      </c>
      <c r="J87" s="2" t="str">
        <f>IF(ISBLANK(ElOverlogu[[#This Row],[En]]),"",SUMIF(ElOverlogu[Adı Soyadı],ElOverlogu[[#This Row],[Adı Soyadı]],ElOverlogu[TUTAR]))</f>
        <v/>
      </c>
    </row>
    <row r="88" spans="2:10" x14ac:dyDescent="0.25">
      <c r="B88" s="1" t="str">
        <f>IF(ISBLANK(C88),"",SUBTOTAL(3, $C$3:C88))</f>
        <v/>
      </c>
      <c r="C88" s="34"/>
      <c r="D88" s="6"/>
      <c r="E88" s="7"/>
      <c r="F88" s="7"/>
      <c r="G88" s="7"/>
      <c r="H88" s="49" t="str">
        <f>IF(ISBLANK(ElOverlogu[[#This Row],[En]]),"",VLOOKUP(ElOverlogu[[#This Row],[Ürün Cinsi]],Fiyat[[Ölçü]:[Birim Fiyatı]],2,0))</f>
        <v/>
      </c>
      <c r="I88" s="49" t="str">
        <f>IF(ISBLANK(ElOverlogu[[#This Row],[En]]),"",(ElOverlogu[[#This Row],[En]]+ElOverlogu[[#This Row],[Boy]])*ElOverlogu[[#This Row],[ADET]]*2*H88/100)</f>
        <v/>
      </c>
      <c r="J88" s="2" t="str">
        <f>IF(ISBLANK(ElOverlogu[[#This Row],[En]]),"",SUMIF(ElOverlogu[Adı Soyadı],ElOverlogu[[#This Row],[Adı Soyadı]],ElOverlogu[TUTAR]))</f>
        <v/>
      </c>
    </row>
    <row r="89" spans="2:10" x14ac:dyDescent="0.25">
      <c r="B89" s="1" t="str">
        <f>IF(ISBLANK(C89),"",SUBTOTAL(3, $C$3:C89))</f>
        <v/>
      </c>
      <c r="C89" s="34"/>
      <c r="D89" s="6"/>
      <c r="E89" s="7"/>
      <c r="F89" s="7"/>
      <c r="G89" s="7"/>
      <c r="H89" s="49" t="str">
        <f>IF(ISBLANK(ElOverlogu[[#This Row],[En]]),"",VLOOKUP(ElOverlogu[[#This Row],[Ürün Cinsi]],Fiyat[[Ölçü]:[Birim Fiyatı]],2,0))</f>
        <v/>
      </c>
      <c r="I89" s="49" t="str">
        <f>IF(ISBLANK(ElOverlogu[[#This Row],[En]]),"",(ElOverlogu[[#This Row],[En]]+ElOverlogu[[#This Row],[Boy]])*ElOverlogu[[#This Row],[ADET]]*2*H89/100)</f>
        <v/>
      </c>
      <c r="J89" s="2" t="str">
        <f>IF(ISBLANK(ElOverlogu[[#This Row],[En]]),"",SUMIF(ElOverlogu[Adı Soyadı],ElOverlogu[[#This Row],[Adı Soyadı]],ElOverlogu[TUTAR]))</f>
        <v/>
      </c>
    </row>
    <row r="90" spans="2:10" x14ac:dyDescent="0.25">
      <c r="B90" s="1" t="str">
        <f>IF(ISBLANK(C90),"",SUBTOTAL(3, $C$3:C90))</f>
        <v/>
      </c>
      <c r="C90" s="34"/>
      <c r="D90" s="6"/>
      <c r="E90" s="9"/>
      <c r="F90" s="9"/>
      <c r="G90" s="9"/>
      <c r="H90" s="49" t="str">
        <f>IF(ISBLANK(ElOverlogu[[#This Row],[En]]),"",VLOOKUP(ElOverlogu[[#This Row],[Ürün Cinsi]],Fiyat[[Ölçü]:[Birim Fiyatı]],2,0))</f>
        <v/>
      </c>
      <c r="I90" s="49" t="str">
        <f>IF(ISBLANK(ElOverlogu[[#This Row],[En]]),"",(ElOverlogu[[#This Row],[En]]+ElOverlogu[[#This Row],[Boy]])*ElOverlogu[[#This Row],[ADET]]*2*H90/100)</f>
        <v/>
      </c>
      <c r="J90" s="10" t="str">
        <f>IF(ISBLANK(ElOverlogu[[#This Row],[En]]),"",SUMIF(ElOverlogu[Adı Soyadı],ElOverlogu[[#This Row],[Adı Soyadı]],ElOverlogu[TUTAR]))</f>
        <v/>
      </c>
    </row>
    <row r="91" spans="2:10" x14ac:dyDescent="0.25">
      <c r="B91" s="1" t="str">
        <f>IF(ISBLANK(C91),"",SUBTOTAL(3, $C$3:C91))</f>
        <v/>
      </c>
      <c r="C91" s="35"/>
      <c r="D91" s="8"/>
      <c r="E91" s="9"/>
      <c r="F91" s="9"/>
      <c r="G91" s="9"/>
      <c r="H91" s="49" t="str">
        <f>IF(ISBLANK(ElOverlogu[[#This Row],[En]]),"",VLOOKUP(ElOverlogu[[#This Row],[Ürün Cinsi]],Fiyat[[Ölçü]:[Birim Fiyatı]],2,0))</f>
        <v/>
      </c>
      <c r="I91" s="49" t="str">
        <f>IF(ISBLANK(ElOverlogu[[#This Row],[En]]),"",(ElOverlogu[[#This Row],[En]]+ElOverlogu[[#This Row],[Boy]])*ElOverlogu[[#This Row],[ADET]]*2*H91/100)</f>
        <v/>
      </c>
      <c r="J91" s="10" t="str">
        <f>IF(ISBLANK(ElOverlogu[[#This Row],[En]]),"",SUMIF(ElOverlogu[Adı Soyadı],ElOverlogu[[#This Row],[Adı Soyadı]],ElOverlogu[TUTAR]))</f>
        <v/>
      </c>
    </row>
    <row r="92" spans="2:10" x14ac:dyDescent="0.25">
      <c r="B92" s="1" t="str">
        <f>IF(ISBLANK(C92),"",SUBTOTAL(3, $C$3:C92))</f>
        <v/>
      </c>
      <c r="C92" s="35"/>
      <c r="D92" s="8"/>
      <c r="E92" s="9"/>
      <c r="F92" s="9"/>
      <c r="G92" s="9"/>
      <c r="H92" s="49" t="str">
        <f>IF(ISBLANK(ElOverlogu[[#This Row],[En]]),"",VLOOKUP(ElOverlogu[[#This Row],[Ürün Cinsi]],Fiyat[[Ölçü]:[Birim Fiyatı]],2,0))</f>
        <v/>
      </c>
      <c r="I92" s="49" t="str">
        <f>IF(ISBLANK(ElOverlogu[[#This Row],[En]]),"",(ElOverlogu[[#This Row],[En]]+ElOverlogu[[#This Row],[Boy]])*ElOverlogu[[#This Row],[ADET]]*2*H92/100)</f>
        <v/>
      </c>
      <c r="J92" s="10" t="str">
        <f>IF(ISBLANK(ElOverlogu[[#This Row],[En]]),"",SUMIF(ElOverlogu[Adı Soyadı],ElOverlogu[[#This Row],[Adı Soyadı]],ElOverlogu[TUTAR]))</f>
        <v/>
      </c>
    </row>
    <row r="93" spans="2:10" x14ac:dyDescent="0.25">
      <c r="B93" s="1" t="str">
        <f>IF(ISBLANK(C93),"",SUBTOTAL(3, $C$3:C93))</f>
        <v/>
      </c>
      <c r="C93" s="35"/>
      <c r="D93" s="8"/>
      <c r="E93" s="9"/>
      <c r="F93" s="9"/>
      <c r="G93" s="9"/>
      <c r="H93" s="49" t="str">
        <f>IF(ISBLANK(ElOverlogu[[#This Row],[En]]),"",VLOOKUP(ElOverlogu[[#This Row],[Ürün Cinsi]],Fiyat[[Ölçü]:[Birim Fiyatı]],2,0))</f>
        <v/>
      </c>
      <c r="I93" s="49" t="str">
        <f>IF(ISBLANK(ElOverlogu[[#This Row],[En]]),"",(ElOverlogu[[#This Row],[En]]+ElOverlogu[[#This Row],[Boy]])*ElOverlogu[[#This Row],[ADET]]*2*H93/100)</f>
        <v/>
      </c>
      <c r="J93" s="10" t="str">
        <f>IF(ISBLANK(ElOverlogu[[#This Row],[En]]),"",SUMIF(ElOverlogu[Adı Soyadı],ElOverlogu[[#This Row],[Adı Soyadı]],ElOverlogu[TUTAR]))</f>
        <v/>
      </c>
    </row>
    <row r="94" spans="2:10" x14ac:dyDescent="0.25">
      <c r="B94" s="1" t="str">
        <f>IF(ISBLANK(C94),"",SUBTOTAL(3, $C$3:C94))</f>
        <v/>
      </c>
      <c r="C94" s="35"/>
      <c r="D94" s="8"/>
      <c r="E94" s="9"/>
      <c r="F94" s="9"/>
      <c r="G94" s="9"/>
      <c r="H94" s="49" t="str">
        <f>IF(ISBLANK(ElOverlogu[[#This Row],[En]]),"",VLOOKUP(ElOverlogu[[#This Row],[Ürün Cinsi]],Fiyat[[Ölçü]:[Birim Fiyatı]],2,0))</f>
        <v/>
      </c>
      <c r="I94" s="49" t="str">
        <f>IF(ISBLANK(ElOverlogu[[#This Row],[En]]),"",(ElOverlogu[[#This Row],[En]]+ElOverlogu[[#This Row],[Boy]])*ElOverlogu[[#This Row],[ADET]]*2*H94/100)</f>
        <v/>
      </c>
      <c r="J94" s="10" t="str">
        <f>IF(ISBLANK(ElOverlogu[[#This Row],[En]]),"",SUMIF(ElOverlogu[Adı Soyadı],ElOverlogu[[#This Row],[Adı Soyadı]],ElOverlogu[TUTAR]))</f>
        <v/>
      </c>
    </row>
    <row r="95" spans="2:10" x14ac:dyDescent="0.25">
      <c r="B95" s="1" t="str">
        <f>IF(ISBLANK(C95),"",SUBTOTAL(3, $C$3:C95))</f>
        <v/>
      </c>
      <c r="C95" s="35"/>
      <c r="D95" s="8"/>
      <c r="E95" s="9"/>
      <c r="F95" s="9"/>
      <c r="G95" s="9"/>
      <c r="H95" s="49" t="str">
        <f>IF(ISBLANK(ElOverlogu[[#This Row],[En]]),"",VLOOKUP(ElOverlogu[[#This Row],[Ürün Cinsi]],Fiyat[[Ölçü]:[Birim Fiyatı]],2,0))</f>
        <v/>
      </c>
      <c r="I95" s="49" t="str">
        <f>IF(ISBLANK(ElOverlogu[[#This Row],[En]]),"",(ElOverlogu[[#This Row],[En]]+ElOverlogu[[#This Row],[Boy]])*ElOverlogu[[#This Row],[ADET]]*2*H95/100)</f>
        <v/>
      </c>
      <c r="J95" s="10" t="str">
        <f>IF(ISBLANK(ElOverlogu[[#This Row],[En]]),"",SUMIF(ElOverlogu[Adı Soyadı],ElOverlogu[[#This Row],[Adı Soyadı]],ElOverlogu[TUTAR]))</f>
        <v/>
      </c>
    </row>
    <row r="96" spans="2:10" x14ac:dyDescent="0.25">
      <c r="B96" s="1" t="str">
        <f>IF(ISBLANK(C96),"",SUBTOTAL(3, $C$3:C96))</f>
        <v/>
      </c>
      <c r="C96" s="35"/>
      <c r="D96" s="8"/>
      <c r="E96" s="9"/>
      <c r="F96" s="9"/>
      <c r="G96" s="9"/>
      <c r="H96" s="49" t="str">
        <f>IF(ISBLANK(ElOverlogu[[#This Row],[En]]),"",VLOOKUP(ElOverlogu[[#This Row],[Ürün Cinsi]],Fiyat[[Ölçü]:[Birim Fiyatı]],2,0))</f>
        <v/>
      </c>
      <c r="I96" s="49" t="str">
        <f>IF(ISBLANK(ElOverlogu[[#This Row],[En]]),"",(ElOverlogu[[#This Row],[En]]+ElOverlogu[[#This Row],[Boy]])*ElOverlogu[[#This Row],[ADET]]*2*H96/100)</f>
        <v/>
      </c>
      <c r="J96" s="10" t="str">
        <f>IF(ISBLANK(ElOverlogu[[#This Row],[En]]),"",SUMIF(ElOverlogu[Adı Soyadı],ElOverlogu[[#This Row],[Adı Soyadı]],ElOverlogu[TUTAR]))</f>
        <v/>
      </c>
    </row>
    <row r="97" spans="2:10" ht="15.75" thickBot="1" x14ac:dyDescent="0.3">
      <c r="B97" s="5" t="str">
        <f>IF(ISBLANK(C97),"",SUBTOTAL(3, $C$3:C97))</f>
        <v/>
      </c>
      <c r="C97" s="35"/>
      <c r="D97" s="8"/>
      <c r="E97" s="9"/>
      <c r="F97" s="9"/>
      <c r="G97" s="9"/>
      <c r="H97" s="50" t="str">
        <f>IF(ISBLANK(ElOverlogu[[#This Row],[En]]),"",VLOOKUP(ElOverlogu[[#This Row],[Ürün Cinsi]],Fiyat[[Ölçü]:[Birim Fiyatı]],2,0))</f>
        <v/>
      </c>
      <c r="I97" s="50" t="str">
        <f>IF(ISBLANK(ElOverlogu[[#This Row],[En]]),"",(ElOverlogu[[#This Row],[En]]+ElOverlogu[[#This Row],[Boy]])*ElOverlogu[[#This Row],[ADET]]*2*H97/100)</f>
        <v/>
      </c>
      <c r="J97" s="10" t="str">
        <f>IF(ISBLANK(ElOverlogu[[#This Row],[En]]),"",SUMIF(ElOverlogu[Adı Soyadı],ElOverlogu[[#This Row],[Adı Soyadı]],ElOverlogu[TUTAR]))</f>
        <v/>
      </c>
    </row>
    <row r="98" spans="2:10" ht="16.5" thickTop="1" thickBot="1" x14ac:dyDescent="0.3">
      <c r="B98" s="16" t="s">
        <v>41</v>
      </c>
      <c r="C98" s="17"/>
      <c r="D98" s="17"/>
      <c r="E98" s="18"/>
      <c r="F98" s="18"/>
      <c r="G98" s="18">
        <f>SUBTOTAL(109,ElOverlogu[ADET])</f>
        <v>0</v>
      </c>
      <c r="H98" s="45"/>
      <c r="I98" s="45">
        <f>SUBTOTAL(109,ElOverlogu[TUTAR])</f>
        <v>0</v>
      </c>
      <c r="J98" s="51"/>
    </row>
    <row r="99" spans="2:10" ht="15.75" thickTop="1" x14ac:dyDescent="0.25"/>
  </sheetData>
  <conditionalFormatting sqref="C3:C97">
    <cfRule type="colorScale" priority="9">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29" min="2" max="8"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1D56037-5F84-4078-923F-5A8403528D68}">
          <x14:formula1>
            <xm:f>Listeler!$F$3:$F$15</xm:f>
          </x14:formula1>
          <xm:sqref>D3:D97</xm:sqref>
        </x14:dataValidation>
        <x14:dataValidation type="list" allowBlank="1" showInputMessage="1" showErrorMessage="1" xr:uid="{EFDB1D6F-1C38-40C7-81E3-46E9452F38D1}">
          <x14:formula1>
            <xm:f>Listeler!$C$3:$C$45</xm:f>
          </x14:formula1>
          <xm:sqref>C3:C97</xm:sqref>
        </x14:dataValidation>
        <x14:dataValidation type="list" allowBlank="1" showInputMessage="1" showErrorMessage="1" xr:uid="{4C37F654-9F22-4DD8-B25C-D1E842912610}">
          <x14:formula1>
            <xm:f>Listeler!$N$3:$N$27</xm:f>
          </x14:formula1>
          <xm:sqref>F3:F97</xm:sqref>
        </x14:dataValidation>
        <x14:dataValidation type="list" allowBlank="1" showInputMessage="1" showErrorMessage="1" xr:uid="{8B34D83B-2238-48C1-8237-A6F2132D4EAA}">
          <x14:formula1>
            <xm:f>Listeler!$M$3:$M$27</xm:f>
          </x14:formula1>
          <xm:sqref>E3:E97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D5042-5087-4814-8E75-9C15170478CB}">
  <sheetPr codeName="Sayfa7">
    <tabColor rgb="FF7030A0"/>
  </sheetPr>
  <dimension ref="B1:I113"/>
  <sheetViews>
    <sheetView zoomScaleNormal="100" workbookViewId="0">
      <pane ySplit="2" topLeftCell="A3" activePane="bottomLeft" state="frozen"/>
      <selection activeCell="F31" sqref="F31"/>
      <selection pane="bottomLeft" activeCell="C3" sqref="C3:F111"/>
    </sheetView>
  </sheetViews>
  <sheetFormatPr defaultRowHeight="15" x14ac:dyDescent="0.25"/>
  <cols>
    <col min="1" max="1" width="2.7109375" customWidth="1"/>
    <col min="2" max="2" width="3.85546875" style="3" customWidth="1"/>
    <col min="3" max="3" width="18.42578125" style="52" customWidth="1"/>
    <col min="4" max="5" width="9.140625" style="52" bestFit="1" customWidth="1"/>
    <col min="6" max="6" width="4.28515625" style="52" customWidth="1"/>
    <col min="7" max="7" width="8.42578125" style="3" customWidth="1"/>
    <col min="8" max="8" width="9.28515625" style="3" customWidth="1"/>
    <col min="9" max="9" width="9.7109375" bestFit="1" customWidth="1"/>
    <col min="10" max="10" width="7.28515625" customWidth="1"/>
  </cols>
  <sheetData>
    <row r="1" spans="2:9" ht="55.9" customHeight="1" thickBot="1" x14ac:dyDescent="0.3"/>
    <row r="2" spans="2:9" ht="25.9" customHeight="1" thickTop="1" thickBot="1" x14ac:dyDescent="0.3">
      <c r="B2" s="40" t="s">
        <v>19</v>
      </c>
      <c r="C2" s="41" t="s">
        <v>18</v>
      </c>
      <c r="D2" s="42" t="s">
        <v>52</v>
      </c>
      <c r="E2" s="43" t="s">
        <v>0</v>
      </c>
      <c r="F2" s="44" t="s">
        <v>1</v>
      </c>
      <c r="G2" s="53" t="s">
        <v>2</v>
      </c>
      <c r="H2" s="47" t="s">
        <v>3</v>
      </c>
      <c r="I2" s="15" t="s">
        <v>44</v>
      </c>
    </row>
    <row r="3" spans="2:9" ht="16.5" thickTop="1" thickBot="1" x14ac:dyDescent="0.3">
      <c r="B3" s="16" t="str">
        <f>IF(ISBLANK(C3),"",SUBTOTAL(3, $C$3:C3))</f>
        <v/>
      </c>
      <c r="C3" s="32"/>
      <c r="D3" s="17"/>
      <c r="E3" s="18"/>
      <c r="F3" s="18"/>
      <c r="G3" s="45" t="str">
        <f>IF(ISBLANK(Sacak13[[#This Row],[Adı Soyadı]]),"",VLOOKUP(Sacak13[[#This Row],[Ürün Cinsi]],Fiyat[[Ölçü]:[Birim Fiyatı]],2,0))</f>
        <v/>
      </c>
      <c r="H3" s="45" t="str">
        <f>IF(ISBLANK(Sacak13[[#This Row],[Adı Soyadı]]),"",Sacak13[[#This Row],[ADET]]*Sacak13[[#This Row],[BİRİM FİYAT]])</f>
        <v/>
      </c>
      <c r="I3" s="46" t="str">
        <f>IF(ISBLANK(Sacak13[[#This Row],[ADET]]),"",SUMIF(Sacak13[Adı Soyadı],Sacak13[[#This Row],[Adı Soyadı]],Sacak13[TUTAR]))</f>
        <v/>
      </c>
    </row>
    <row r="4" spans="2:9" ht="16.5" thickTop="1" thickBot="1" x14ac:dyDescent="0.3">
      <c r="B4" s="16" t="str">
        <f>IF(ISBLANK(C4),"",SUBTOTAL(3, $C$3:C4))</f>
        <v/>
      </c>
      <c r="C4" s="32"/>
      <c r="D4" s="17"/>
      <c r="E4" s="18"/>
      <c r="F4" s="18"/>
      <c r="G4" s="45" t="str">
        <f>IF(ISBLANK(Sacak13[[#This Row],[Adı Soyadı]]),"",VLOOKUP(Sacak13[[#This Row],[Ürün Cinsi]],Fiyat[[Ölçü]:[Birim Fiyatı]],2,0))</f>
        <v/>
      </c>
      <c r="H4" s="45" t="str">
        <f>IF(ISBLANK(Sacak13[[#This Row],[Adı Soyadı]]),"",Sacak13[[#This Row],[ADET]]*Sacak13[[#This Row],[BİRİM FİYAT]])</f>
        <v/>
      </c>
      <c r="I4" s="46" t="str">
        <f>IF(ISBLANK(Sacak13[[#This Row],[ADET]]),"",SUMIF(Sacak13[Adı Soyadı],Sacak13[[#This Row],[Adı Soyadı]],Sacak13[TUTAR]))</f>
        <v/>
      </c>
    </row>
    <row r="5" spans="2:9" ht="16.5" thickTop="1" thickBot="1" x14ac:dyDescent="0.3">
      <c r="B5" s="16" t="str">
        <f>IF(ISBLANK(C5),"",SUBTOTAL(3, $C$3:C5))</f>
        <v/>
      </c>
      <c r="C5" s="32"/>
      <c r="D5" s="17"/>
      <c r="E5" s="18"/>
      <c r="F5" s="18"/>
      <c r="G5" s="45" t="str">
        <f>IF(ISBLANK(Sacak13[[#This Row],[Adı Soyadı]]),"",VLOOKUP(Sacak13[[#This Row],[Ürün Cinsi]],Fiyat[[Ölçü]:[Birim Fiyatı]],2,0))</f>
        <v/>
      </c>
      <c r="H5" s="45" t="str">
        <f>IF(ISBLANK(Sacak13[[#This Row],[Adı Soyadı]]),"",Sacak13[[#This Row],[ADET]]*Sacak13[[#This Row],[BİRİM FİYAT]])</f>
        <v/>
      </c>
      <c r="I5" s="46" t="str">
        <f>IF(ISBLANK(Sacak13[[#This Row],[ADET]]),"",SUMIF(Sacak13[Adı Soyadı],Sacak13[[#This Row],[Adı Soyadı]],Sacak13[TUTAR]))</f>
        <v/>
      </c>
    </row>
    <row r="6" spans="2:9" ht="16.5" thickTop="1" thickBot="1" x14ac:dyDescent="0.3">
      <c r="B6" s="16" t="str">
        <f>IF(ISBLANK(C6),"",SUBTOTAL(3, $C$3:C6))</f>
        <v/>
      </c>
      <c r="C6" s="32"/>
      <c r="D6" s="17"/>
      <c r="E6" s="18"/>
      <c r="F6" s="18"/>
      <c r="G6" s="45" t="str">
        <f>IF(ISBLANK(Sacak13[[#This Row],[Adı Soyadı]]),"",VLOOKUP(Sacak13[[#This Row],[Ürün Cinsi]],Fiyat[[Ölçü]:[Birim Fiyatı]],2,0))</f>
        <v/>
      </c>
      <c r="H6" s="45" t="str">
        <f>IF(ISBLANK(Sacak13[[#This Row],[Adı Soyadı]]),"",Sacak13[[#This Row],[ADET]]*Sacak13[[#This Row],[BİRİM FİYAT]])</f>
        <v/>
      </c>
      <c r="I6" s="46" t="str">
        <f>IF(ISBLANK(Sacak13[[#This Row],[ADET]]),"",SUMIF(Sacak13[Adı Soyadı],Sacak13[[#This Row],[Adı Soyadı]],Sacak13[TUTAR]))</f>
        <v/>
      </c>
    </row>
    <row r="7" spans="2:9" ht="16.5" thickTop="1" thickBot="1" x14ac:dyDescent="0.3">
      <c r="B7" s="16" t="str">
        <f>IF(ISBLANK(C7),"",SUBTOTAL(3, $C$3:C7))</f>
        <v/>
      </c>
      <c r="C7" s="32"/>
      <c r="D7" s="17"/>
      <c r="E7" s="18"/>
      <c r="F7" s="18"/>
      <c r="G7" s="45" t="str">
        <f>IF(ISBLANK(Sacak13[[#This Row],[Adı Soyadı]]),"",VLOOKUP(Sacak13[[#This Row],[Ürün Cinsi]],Fiyat[[Ölçü]:[Birim Fiyatı]],2,0))</f>
        <v/>
      </c>
      <c r="H7" s="45" t="str">
        <f>IF(ISBLANK(Sacak13[[#This Row],[Adı Soyadı]]),"",Sacak13[[#This Row],[ADET]]*Sacak13[[#This Row],[BİRİM FİYAT]])</f>
        <v/>
      </c>
      <c r="I7" s="46" t="str">
        <f>IF(ISBLANK(Sacak13[[#This Row],[ADET]]),"",SUMIF(Sacak13[Adı Soyadı],Sacak13[[#This Row],[Adı Soyadı]],Sacak13[TUTAR]))</f>
        <v/>
      </c>
    </row>
    <row r="8" spans="2:9" ht="16.5" thickTop="1" thickBot="1" x14ac:dyDescent="0.3">
      <c r="B8" s="16" t="str">
        <f>IF(ISBLANK(C8),"",SUBTOTAL(3, $C$3:C8))</f>
        <v/>
      </c>
      <c r="C8" s="32"/>
      <c r="D8" s="17"/>
      <c r="E8" s="18"/>
      <c r="F8" s="18"/>
      <c r="G8" s="45" t="str">
        <f>IF(ISBLANK(Sacak13[[#This Row],[Adı Soyadı]]),"",VLOOKUP(Sacak13[[#This Row],[Ürün Cinsi]],Fiyat[[Ölçü]:[Birim Fiyatı]],2,0))</f>
        <v/>
      </c>
      <c r="H8" s="45" t="str">
        <f>IF(ISBLANK(Sacak13[[#This Row],[Adı Soyadı]]),"",Sacak13[[#This Row],[ADET]]*Sacak13[[#This Row],[BİRİM FİYAT]])</f>
        <v/>
      </c>
      <c r="I8" s="46" t="str">
        <f>IF(ISBLANK(Sacak13[[#This Row],[ADET]]),"",SUMIF(Sacak13[Adı Soyadı],Sacak13[[#This Row],[Adı Soyadı]],Sacak13[TUTAR]))</f>
        <v/>
      </c>
    </row>
    <row r="9" spans="2:9" ht="16.5" thickTop="1" thickBot="1" x14ac:dyDescent="0.3">
      <c r="B9" s="16" t="str">
        <f>IF(ISBLANK(C9),"",SUBTOTAL(3, $C$3:C9))</f>
        <v/>
      </c>
      <c r="C9" s="32"/>
      <c r="D9" s="17"/>
      <c r="E9" s="18"/>
      <c r="F9" s="18"/>
      <c r="G9" s="45" t="str">
        <f>IF(ISBLANK(Sacak13[[#This Row],[Adı Soyadı]]),"",VLOOKUP(Sacak13[[#This Row],[Ürün Cinsi]],Fiyat[[Ölçü]:[Birim Fiyatı]],2,0))</f>
        <v/>
      </c>
      <c r="H9" s="45" t="str">
        <f>IF(ISBLANK(Sacak13[[#This Row],[Adı Soyadı]]),"",Sacak13[[#This Row],[ADET]]*Sacak13[[#This Row],[BİRİM FİYAT]])</f>
        <v/>
      </c>
      <c r="I9" s="46" t="str">
        <f>IF(ISBLANK(Sacak13[[#This Row],[ADET]]),"",SUMIF(Sacak13[Adı Soyadı],Sacak13[[#This Row],[Adı Soyadı]],Sacak13[TUTAR]))</f>
        <v/>
      </c>
    </row>
    <row r="10" spans="2:9" ht="16.5" thickTop="1" thickBot="1" x14ac:dyDescent="0.3">
      <c r="B10" s="16" t="str">
        <f>IF(ISBLANK(C10),"",SUBTOTAL(3, $C$3:C10))</f>
        <v/>
      </c>
      <c r="C10" s="32"/>
      <c r="D10" s="17"/>
      <c r="E10" s="18"/>
      <c r="F10" s="18"/>
      <c r="G10" s="45" t="str">
        <f>IF(ISBLANK(Sacak13[[#This Row],[Adı Soyadı]]),"",VLOOKUP(Sacak13[[#This Row],[Ürün Cinsi]],Fiyat[[Ölçü]:[Birim Fiyatı]],2,0))</f>
        <v/>
      </c>
      <c r="H10" s="45" t="str">
        <f>IF(ISBLANK(Sacak13[[#This Row],[Adı Soyadı]]),"",Sacak13[[#This Row],[ADET]]*Sacak13[[#This Row],[BİRİM FİYAT]])</f>
        <v/>
      </c>
      <c r="I10" s="46" t="str">
        <f>IF(ISBLANK(Sacak13[[#This Row],[ADET]]),"",SUMIF(Sacak13[Adı Soyadı],Sacak13[[#This Row],[Adı Soyadı]],Sacak13[TUTAR]))</f>
        <v/>
      </c>
    </row>
    <row r="11" spans="2:9" ht="16.5" thickTop="1" thickBot="1" x14ac:dyDescent="0.3">
      <c r="B11" s="16" t="str">
        <f>IF(ISBLANK(C11),"",SUBTOTAL(3, $C$3:C11))</f>
        <v/>
      </c>
      <c r="C11" s="32"/>
      <c r="D11" s="17"/>
      <c r="E11" s="18"/>
      <c r="F11" s="18"/>
      <c r="G11" s="45" t="str">
        <f>IF(ISBLANK(Sacak13[[#This Row],[Adı Soyadı]]),"",VLOOKUP(Sacak13[[#This Row],[Ürün Cinsi]],Fiyat[[Ölçü]:[Birim Fiyatı]],2,0))</f>
        <v/>
      </c>
      <c r="H11" s="45" t="str">
        <f>IF(ISBLANK(Sacak13[[#This Row],[Adı Soyadı]]),"",Sacak13[[#This Row],[ADET]]*Sacak13[[#This Row],[BİRİM FİYAT]])</f>
        <v/>
      </c>
      <c r="I11" s="46" t="str">
        <f>IF(ISBLANK(Sacak13[[#This Row],[ADET]]),"",SUMIF(Sacak13[Adı Soyadı],Sacak13[[#This Row],[Adı Soyadı]],Sacak13[TUTAR]))</f>
        <v/>
      </c>
    </row>
    <row r="12" spans="2:9" ht="16.5" thickTop="1" thickBot="1" x14ac:dyDescent="0.3">
      <c r="B12" s="16" t="str">
        <f>IF(ISBLANK(C12),"",SUBTOTAL(3, $C$3:C12))</f>
        <v/>
      </c>
      <c r="C12" s="32"/>
      <c r="D12" s="17"/>
      <c r="E12" s="18"/>
      <c r="F12" s="18"/>
      <c r="G12" s="45" t="str">
        <f>IF(ISBLANK(Sacak13[[#This Row],[Adı Soyadı]]),"",VLOOKUP(Sacak13[[#This Row],[Ürün Cinsi]],Fiyat[[Ölçü]:[Birim Fiyatı]],2,0))</f>
        <v/>
      </c>
      <c r="H12" s="45" t="str">
        <f>IF(ISBLANK(Sacak13[[#This Row],[Adı Soyadı]]),"",Sacak13[[#This Row],[ADET]]*Sacak13[[#This Row],[BİRİM FİYAT]])</f>
        <v/>
      </c>
      <c r="I12" s="46" t="str">
        <f>IF(ISBLANK(Sacak13[[#This Row],[ADET]]),"",SUMIF(Sacak13[Adı Soyadı],Sacak13[[#This Row],[Adı Soyadı]],Sacak13[TUTAR]))</f>
        <v/>
      </c>
    </row>
    <row r="13" spans="2:9" ht="16.5" thickTop="1" thickBot="1" x14ac:dyDescent="0.3">
      <c r="B13" s="16" t="str">
        <f>IF(ISBLANK(C13),"",SUBTOTAL(3, $C$3:C13))</f>
        <v/>
      </c>
      <c r="C13" s="32"/>
      <c r="D13" s="17"/>
      <c r="E13" s="18"/>
      <c r="F13" s="18"/>
      <c r="G13" s="45" t="str">
        <f>IF(ISBLANK(Sacak13[[#This Row],[Adı Soyadı]]),"",VLOOKUP(Sacak13[[#This Row],[Ürün Cinsi]],Fiyat[[Ölçü]:[Birim Fiyatı]],2,0))</f>
        <v/>
      </c>
      <c r="H13" s="45" t="str">
        <f>IF(ISBLANK(Sacak13[[#This Row],[Adı Soyadı]]),"",Sacak13[[#This Row],[ADET]]*Sacak13[[#This Row],[BİRİM FİYAT]])</f>
        <v/>
      </c>
      <c r="I13" s="46" t="str">
        <f>IF(ISBLANK(Sacak13[[#This Row],[ADET]]),"",SUMIF(Sacak13[Adı Soyadı],Sacak13[[#This Row],[Adı Soyadı]],Sacak13[TUTAR]))</f>
        <v/>
      </c>
    </row>
    <row r="14" spans="2:9" ht="16.5" thickTop="1" thickBot="1" x14ac:dyDescent="0.3">
      <c r="B14" s="16" t="str">
        <f>IF(ISBLANK(C14),"",SUBTOTAL(3, $C$3:C14))</f>
        <v/>
      </c>
      <c r="C14" s="32"/>
      <c r="D14" s="17"/>
      <c r="E14" s="18"/>
      <c r="F14" s="18"/>
      <c r="G14" s="45" t="str">
        <f>IF(ISBLANK(Sacak13[[#This Row],[Adı Soyadı]]),"",VLOOKUP(Sacak13[[#This Row],[Ürün Cinsi]],Fiyat[[Ölçü]:[Birim Fiyatı]],2,0))</f>
        <v/>
      </c>
      <c r="H14" s="45" t="str">
        <f>IF(ISBLANK(Sacak13[[#This Row],[Adı Soyadı]]),"",Sacak13[[#This Row],[ADET]]*Sacak13[[#This Row],[BİRİM FİYAT]])</f>
        <v/>
      </c>
      <c r="I14" s="46" t="str">
        <f>IF(ISBLANK(Sacak13[[#This Row],[ADET]]),"",SUMIF(Sacak13[Adı Soyadı],Sacak13[[#This Row],[Adı Soyadı]],Sacak13[TUTAR]))</f>
        <v/>
      </c>
    </row>
    <row r="15" spans="2:9" ht="16.5" thickTop="1" thickBot="1" x14ac:dyDescent="0.3">
      <c r="B15" s="16" t="str">
        <f>IF(ISBLANK(C15),"",SUBTOTAL(3, $C$3:C15))</f>
        <v/>
      </c>
      <c r="C15" s="32"/>
      <c r="D15" s="17"/>
      <c r="E15" s="18"/>
      <c r="F15" s="18"/>
      <c r="G15" s="45" t="str">
        <f>IF(ISBLANK(Sacak13[[#This Row],[Adı Soyadı]]),"",VLOOKUP(Sacak13[[#This Row],[Ürün Cinsi]],Fiyat[[Ölçü]:[Birim Fiyatı]],2,0))</f>
        <v/>
      </c>
      <c r="H15" s="45" t="str">
        <f>IF(ISBLANK(Sacak13[[#This Row],[Adı Soyadı]]),"",Sacak13[[#This Row],[ADET]]*Sacak13[[#This Row],[BİRİM FİYAT]])</f>
        <v/>
      </c>
      <c r="I15" s="46" t="str">
        <f>IF(ISBLANK(Sacak13[[#This Row],[ADET]]),"",SUMIF(Sacak13[Adı Soyadı],Sacak13[[#This Row],[Adı Soyadı]],Sacak13[TUTAR]))</f>
        <v/>
      </c>
    </row>
    <row r="16" spans="2:9" ht="16.5" thickTop="1" thickBot="1" x14ac:dyDescent="0.3">
      <c r="B16" s="16" t="str">
        <f>IF(ISBLANK(C16),"",SUBTOTAL(3, $C$3:C16))</f>
        <v/>
      </c>
      <c r="C16" s="32"/>
      <c r="D16" s="17"/>
      <c r="E16" s="18"/>
      <c r="F16" s="18"/>
      <c r="G16" s="45" t="str">
        <f>IF(ISBLANK(Sacak13[[#This Row],[Adı Soyadı]]),"",VLOOKUP(Sacak13[[#This Row],[Ürün Cinsi]],Fiyat[[Ölçü]:[Birim Fiyatı]],2,0))</f>
        <v/>
      </c>
      <c r="H16" s="45" t="str">
        <f>IF(ISBLANK(Sacak13[[#This Row],[Adı Soyadı]]),"",Sacak13[[#This Row],[ADET]]*Sacak13[[#This Row],[BİRİM FİYAT]])</f>
        <v/>
      </c>
      <c r="I16" s="46" t="str">
        <f>IF(ISBLANK(Sacak13[[#This Row],[ADET]]),"",SUMIF(Sacak13[Adı Soyadı],Sacak13[[#This Row],[Adı Soyadı]],Sacak13[TUTAR]))</f>
        <v/>
      </c>
    </row>
    <row r="17" spans="2:9" ht="16.5" thickTop="1" thickBot="1" x14ac:dyDescent="0.3">
      <c r="B17" s="16" t="str">
        <f>IF(ISBLANK(C17),"",SUBTOTAL(3, $C$3:C17))</f>
        <v/>
      </c>
      <c r="C17" s="32"/>
      <c r="D17" s="17"/>
      <c r="E17" s="18"/>
      <c r="F17" s="18"/>
      <c r="G17" s="45" t="str">
        <f>IF(ISBLANK(Sacak13[[#This Row],[Adı Soyadı]]),"",VLOOKUP(Sacak13[[#This Row],[Ürün Cinsi]],Fiyat[[Ölçü]:[Birim Fiyatı]],2,0))</f>
        <v/>
      </c>
      <c r="H17" s="45" t="str">
        <f>IF(ISBLANK(Sacak13[[#This Row],[Adı Soyadı]]),"",Sacak13[[#This Row],[ADET]]*Sacak13[[#This Row],[BİRİM FİYAT]])</f>
        <v/>
      </c>
      <c r="I17" s="46" t="str">
        <f>IF(ISBLANK(Sacak13[[#This Row],[ADET]]),"",SUMIF(Sacak13[Adı Soyadı],Sacak13[[#This Row],[Adı Soyadı]],Sacak13[TUTAR]))</f>
        <v/>
      </c>
    </row>
    <row r="18" spans="2:9" ht="16.5" thickTop="1" thickBot="1" x14ac:dyDescent="0.3">
      <c r="B18" s="16" t="str">
        <f>IF(ISBLANK(C18),"",SUBTOTAL(3, $C$3:C18))</f>
        <v/>
      </c>
      <c r="C18" s="32"/>
      <c r="D18" s="17"/>
      <c r="E18" s="18"/>
      <c r="F18" s="18"/>
      <c r="G18" s="45" t="str">
        <f>IF(ISBLANK(Sacak13[[#This Row],[Adı Soyadı]]),"",VLOOKUP(Sacak13[[#This Row],[Ürün Cinsi]],Fiyat[[Ölçü]:[Birim Fiyatı]],2,0))</f>
        <v/>
      </c>
      <c r="H18" s="45" t="str">
        <f>IF(ISBLANK(Sacak13[[#This Row],[Adı Soyadı]]),"",Sacak13[[#This Row],[ADET]]*Sacak13[[#This Row],[BİRİM FİYAT]])</f>
        <v/>
      </c>
      <c r="I18" s="46" t="str">
        <f>IF(ISBLANK(Sacak13[[#This Row],[ADET]]),"",SUMIF(Sacak13[Adı Soyadı],Sacak13[[#This Row],[Adı Soyadı]],Sacak13[TUTAR]))</f>
        <v/>
      </c>
    </row>
    <row r="19" spans="2:9" ht="16.5" thickTop="1" thickBot="1" x14ac:dyDescent="0.3">
      <c r="B19" s="16" t="str">
        <f>IF(ISBLANK(C19),"",SUBTOTAL(3, $C$3:C19))</f>
        <v/>
      </c>
      <c r="C19" s="32"/>
      <c r="D19" s="17"/>
      <c r="E19" s="18"/>
      <c r="F19" s="18"/>
      <c r="G19" s="45" t="str">
        <f>IF(ISBLANK(Sacak13[[#This Row],[Adı Soyadı]]),"",VLOOKUP(Sacak13[[#This Row],[Ürün Cinsi]],Fiyat[[Ölçü]:[Birim Fiyatı]],2,0))</f>
        <v/>
      </c>
      <c r="H19" s="45" t="str">
        <f>IF(ISBLANK(Sacak13[[#This Row],[Adı Soyadı]]),"",Sacak13[[#This Row],[ADET]]*Sacak13[[#This Row],[BİRİM FİYAT]])</f>
        <v/>
      </c>
      <c r="I19" s="46" t="str">
        <f>IF(ISBLANK(Sacak13[[#This Row],[ADET]]),"",SUMIF(Sacak13[Adı Soyadı],Sacak13[[#This Row],[Adı Soyadı]],Sacak13[TUTAR]))</f>
        <v/>
      </c>
    </row>
    <row r="20" spans="2:9" ht="16.5" thickTop="1" thickBot="1" x14ac:dyDescent="0.3">
      <c r="B20" s="16" t="str">
        <f>IF(ISBLANK(C20),"",SUBTOTAL(3, $C$3:C20))</f>
        <v/>
      </c>
      <c r="C20" s="32"/>
      <c r="D20" s="17"/>
      <c r="E20" s="18"/>
      <c r="F20" s="18"/>
      <c r="G20" s="45" t="str">
        <f>IF(ISBLANK(Sacak13[[#This Row],[Adı Soyadı]]),"",VLOOKUP(Sacak13[[#This Row],[Ürün Cinsi]],Fiyat[[Ölçü]:[Birim Fiyatı]],2,0))</f>
        <v/>
      </c>
      <c r="H20" s="45" t="str">
        <f>IF(ISBLANK(Sacak13[[#This Row],[Adı Soyadı]]),"",Sacak13[[#This Row],[ADET]]*Sacak13[[#This Row],[BİRİM FİYAT]])</f>
        <v/>
      </c>
      <c r="I20" s="46" t="str">
        <f>IF(ISBLANK(Sacak13[[#This Row],[ADET]]),"",SUMIF(Sacak13[Adı Soyadı],Sacak13[[#This Row],[Adı Soyadı]],Sacak13[TUTAR]))</f>
        <v/>
      </c>
    </row>
    <row r="21" spans="2:9" ht="16.5" thickTop="1" thickBot="1" x14ac:dyDescent="0.3">
      <c r="B21" s="16" t="str">
        <f>IF(ISBLANK(C21),"",SUBTOTAL(3, $C$3:C21))</f>
        <v/>
      </c>
      <c r="C21" s="32"/>
      <c r="D21" s="17"/>
      <c r="E21" s="18"/>
      <c r="F21" s="18"/>
      <c r="G21" s="45" t="str">
        <f>IF(ISBLANK(Sacak13[[#This Row],[Adı Soyadı]]),"",VLOOKUP(Sacak13[[#This Row],[Ürün Cinsi]],Fiyat[[Ölçü]:[Birim Fiyatı]],2,0))</f>
        <v/>
      </c>
      <c r="H21" s="45" t="str">
        <f>IF(ISBLANK(Sacak13[[#This Row],[Adı Soyadı]]),"",Sacak13[[#This Row],[ADET]]*Sacak13[[#This Row],[BİRİM FİYAT]])</f>
        <v/>
      </c>
      <c r="I21" s="46" t="str">
        <f>IF(ISBLANK(Sacak13[[#This Row],[ADET]]),"",SUMIF(Sacak13[Adı Soyadı],Sacak13[[#This Row],[Adı Soyadı]],Sacak13[TUTAR]))</f>
        <v/>
      </c>
    </row>
    <row r="22" spans="2:9" ht="16.5" thickTop="1" thickBot="1" x14ac:dyDescent="0.3">
      <c r="B22" s="16" t="str">
        <f>IF(ISBLANK(C22),"",SUBTOTAL(3, $C$3:C22))</f>
        <v/>
      </c>
      <c r="C22" s="32"/>
      <c r="D22" s="17"/>
      <c r="E22" s="18"/>
      <c r="F22" s="18"/>
      <c r="G22" s="45" t="str">
        <f>IF(ISBLANK(Sacak13[[#This Row],[Adı Soyadı]]),"",VLOOKUP(Sacak13[[#This Row],[Ürün Cinsi]],Fiyat[[Ölçü]:[Birim Fiyatı]],2,0))</f>
        <v/>
      </c>
      <c r="H22" s="45" t="str">
        <f>IF(ISBLANK(Sacak13[[#This Row],[Adı Soyadı]]),"",Sacak13[[#This Row],[ADET]]*Sacak13[[#This Row],[BİRİM FİYAT]])</f>
        <v/>
      </c>
      <c r="I22" s="46" t="str">
        <f>IF(ISBLANK(Sacak13[[#This Row],[ADET]]),"",SUMIF(Sacak13[Adı Soyadı],Sacak13[[#This Row],[Adı Soyadı]],Sacak13[TUTAR]))</f>
        <v/>
      </c>
    </row>
    <row r="23" spans="2:9" ht="16.5" thickTop="1" thickBot="1" x14ac:dyDescent="0.3">
      <c r="B23" s="16" t="str">
        <f>IF(ISBLANK(C23),"",SUBTOTAL(3, $C$3:C23))</f>
        <v/>
      </c>
      <c r="C23" s="32"/>
      <c r="D23" s="17"/>
      <c r="E23" s="18"/>
      <c r="F23" s="18"/>
      <c r="G23" s="45" t="str">
        <f>IF(ISBLANK(Sacak13[[#This Row],[Adı Soyadı]]),"",VLOOKUP(Sacak13[[#This Row],[Ürün Cinsi]],Fiyat[[Ölçü]:[Birim Fiyatı]],2,0))</f>
        <v/>
      </c>
      <c r="H23" s="45" t="str">
        <f>IF(ISBLANK(Sacak13[[#This Row],[Adı Soyadı]]),"",Sacak13[[#This Row],[ADET]]*Sacak13[[#This Row],[BİRİM FİYAT]])</f>
        <v/>
      </c>
      <c r="I23" s="46" t="str">
        <f>IF(ISBLANK(Sacak13[[#This Row],[ADET]]),"",SUMIF(Sacak13[Adı Soyadı],Sacak13[[#This Row],[Adı Soyadı]],Sacak13[TUTAR]))</f>
        <v/>
      </c>
    </row>
    <row r="24" spans="2:9" ht="16.5" thickTop="1" thickBot="1" x14ac:dyDescent="0.3">
      <c r="B24" s="16" t="str">
        <f>IF(ISBLANK(C24),"",SUBTOTAL(3, $C$3:C24))</f>
        <v/>
      </c>
      <c r="C24" s="32"/>
      <c r="D24" s="17"/>
      <c r="E24" s="18"/>
      <c r="F24" s="18"/>
      <c r="G24" s="45" t="str">
        <f>IF(ISBLANK(Sacak13[[#This Row],[Adı Soyadı]]),"",VLOOKUP(Sacak13[[#This Row],[Ürün Cinsi]],Fiyat[[Ölçü]:[Birim Fiyatı]],2,0))</f>
        <v/>
      </c>
      <c r="H24" s="45" t="str">
        <f>IF(ISBLANK(Sacak13[[#This Row],[Adı Soyadı]]),"",Sacak13[[#This Row],[ADET]]*Sacak13[[#This Row],[BİRİM FİYAT]])</f>
        <v/>
      </c>
      <c r="I24" s="46" t="str">
        <f>IF(ISBLANK(Sacak13[[#This Row],[ADET]]),"",SUMIF(Sacak13[Adı Soyadı],Sacak13[[#This Row],[Adı Soyadı]],Sacak13[TUTAR]))</f>
        <v/>
      </c>
    </row>
    <row r="25" spans="2:9" ht="16.5" thickTop="1" thickBot="1" x14ac:dyDescent="0.3">
      <c r="B25" s="16" t="str">
        <f>IF(ISBLANK(C25),"",SUBTOTAL(3, $C$3:C25))</f>
        <v/>
      </c>
      <c r="C25" s="32"/>
      <c r="D25" s="17"/>
      <c r="E25" s="18"/>
      <c r="F25" s="18"/>
      <c r="G25" s="45" t="str">
        <f>IF(ISBLANK(Sacak13[[#This Row],[Adı Soyadı]]),"",VLOOKUP(Sacak13[[#This Row],[Ürün Cinsi]],Fiyat[[Ölçü]:[Birim Fiyatı]],2,0))</f>
        <v/>
      </c>
      <c r="H25" s="45" t="str">
        <f>IF(ISBLANK(Sacak13[[#This Row],[Adı Soyadı]]),"",Sacak13[[#This Row],[ADET]]*Sacak13[[#This Row],[BİRİM FİYAT]])</f>
        <v/>
      </c>
      <c r="I25" s="46" t="str">
        <f>IF(ISBLANK(Sacak13[[#This Row],[ADET]]),"",SUMIF(Sacak13[Adı Soyadı],Sacak13[[#This Row],[Adı Soyadı]],Sacak13[TUTAR]))</f>
        <v/>
      </c>
    </row>
    <row r="26" spans="2:9" ht="16.5" thickTop="1" thickBot="1" x14ac:dyDescent="0.3">
      <c r="B26" s="16" t="str">
        <f>IF(ISBLANK(C26),"",SUBTOTAL(3, $C$3:C26))</f>
        <v/>
      </c>
      <c r="C26" s="32"/>
      <c r="D26" s="17"/>
      <c r="E26" s="18"/>
      <c r="F26" s="18"/>
      <c r="G26" s="45" t="str">
        <f>IF(ISBLANK(Sacak13[[#This Row],[Adı Soyadı]]),"",VLOOKUP(Sacak13[[#This Row],[Ürün Cinsi]],Fiyat[[Ölçü]:[Birim Fiyatı]],2,0))</f>
        <v/>
      </c>
      <c r="H26" s="45" t="str">
        <f>IF(ISBLANK(Sacak13[[#This Row],[Adı Soyadı]]),"",Sacak13[[#This Row],[ADET]]*Sacak13[[#This Row],[BİRİM FİYAT]])</f>
        <v/>
      </c>
      <c r="I26" s="46" t="str">
        <f>IF(ISBLANK(Sacak13[[#This Row],[ADET]]),"",SUMIF(Sacak13[Adı Soyadı],Sacak13[[#This Row],[Adı Soyadı]],Sacak13[TUTAR]))</f>
        <v/>
      </c>
    </row>
    <row r="27" spans="2:9" ht="16.5" thickTop="1" thickBot="1" x14ac:dyDescent="0.3">
      <c r="B27" s="16" t="str">
        <f>IF(ISBLANK(C27),"",SUBTOTAL(3, $C$3:C27))</f>
        <v/>
      </c>
      <c r="C27" s="32"/>
      <c r="D27" s="17"/>
      <c r="E27" s="18"/>
      <c r="F27" s="18"/>
      <c r="G27" s="45" t="str">
        <f>IF(ISBLANK(Sacak13[[#This Row],[Adı Soyadı]]),"",VLOOKUP(Sacak13[[#This Row],[Ürün Cinsi]],Fiyat[[Ölçü]:[Birim Fiyatı]],2,0))</f>
        <v/>
      </c>
      <c r="H27" s="45" t="str">
        <f>IF(ISBLANK(Sacak13[[#This Row],[Adı Soyadı]]),"",Sacak13[[#This Row],[ADET]]*Sacak13[[#This Row],[BİRİM FİYAT]])</f>
        <v/>
      </c>
      <c r="I27" s="46" t="str">
        <f>IF(ISBLANK(Sacak13[[#This Row],[ADET]]),"",SUMIF(Sacak13[Adı Soyadı],Sacak13[[#This Row],[Adı Soyadı]],Sacak13[TUTAR]))</f>
        <v/>
      </c>
    </row>
    <row r="28" spans="2:9" ht="16.5" thickTop="1" thickBot="1" x14ac:dyDescent="0.3">
      <c r="B28" s="16" t="str">
        <f>IF(ISBLANK(C28),"",SUBTOTAL(3, $C$3:C28))</f>
        <v/>
      </c>
      <c r="C28" s="32"/>
      <c r="D28" s="17"/>
      <c r="E28" s="18"/>
      <c r="F28" s="18"/>
      <c r="G28" s="45" t="str">
        <f>IF(ISBLANK(Sacak13[[#This Row],[Adı Soyadı]]),"",VLOOKUP(Sacak13[[#This Row],[Ürün Cinsi]],Fiyat[[Ölçü]:[Birim Fiyatı]],2,0))</f>
        <v/>
      </c>
      <c r="H28" s="45" t="str">
        <f>IF(ISBLANK(Sacak13[[#This Row],[Adı Soyadı]]),"",Sacak13[[#This Row],[ADET]]*Sacak13[[#This Row],[BİRİM FİYAT]])</f>
        <v/>
      </c>
      <c r="I28" s="46" t="str">
        <f>IF(ISBLANK(Sacak13[[#This Row],[ADET]]),"",SUMIF(Sacak13[Adı Soyadı],Sacak13[[#This Row],[Adı Soyadı]],Sacak13[TUTAR]))</f>
        <v/>
      </c>
    </row>
    <row r="29" spans="2:9" ht="16.5" thickTop="1" thickBot="1" x14ac:dyDescent="0.3">
      <c r="B29" s="16" t="str">
        <f>IF(ISBLANK(C29),"",SUBTOTAL(3, $C$3:C29))</f>
        <v/>
      </c>
      <c r="C29" s="32"/>
      <c r="D29" s="17"/>
      <c r="E29" s="18"/>
      <c r="F29" s="18"/>
      <c r="G29" s="45" t="str">
        <f>IF(ISBLANK(Sacak13[[#This Row],[Adı Soyadı]]),"",VLOOKUP(Sacak13[[#This Row],[Ürün Cinsi]],Fiyat[[Ölçü]:[Birim Fiyatı]],2,0))</f>
        <v/>
      </c>
      <c r="H29" s="45" t="str">
        <f>IF(ISBLANK(Sacak13[[#This Row],[Adı Soyadı]]),"",Sacak13[[#This Row],[ADET]]*Sacak13[[#This Row],[BİRİM FİYAT]])</f>
        <v/>
      </c>
      <c r="I29" s="46" t="str">
        <f>IF(ISBLANK(Sacak13[[#This Row],[ADET]]),"",SUMIF(Sacak13[Adı Soyadı],Sacak13[[#This Row],[Adı Soyadı]],Sacak13[TUTAR]))</f>
        <v/>
      </c>
    </row>
    <row r="30" spans="2:9" ht="16.5" thickTop="1" thickBot="1" x14ac:dyDescent="0.3">
      <c r="B30" s="16" t="str">
        <f>IF(ISBLANK(C30),"",SUBTOTAL(3, $C$3:C30))</f>
        <v/>
      </c>
      <c r="C30" s="32"/>
      <c r="D30" s="17"/>
      <c r="E30" s="18"/>
      <c r="F30" s="18"/>
      <c r="G30" s="45" t="str">
        <f>IF(ISBLANK(Sacak13[[#This Row],[Adı Soyadı]]),"",VLOOKUP(Sacak13[[#This Row],[Ürün Cinsi]],Fiyat[[Ölçü]:[Birim Fiyatı]],2,0))</f>
        <v/>
      </c>
      <c r="H30" s="45" t="str">
        <f>IF(ISBLANK(Sacak13[[#This Row],[Adı Soyadı]]),"",Sacak13[[#This Row],[ADET]]*Sacak13[[#This Row],[BİRİM FİYAT]])</f>
        <v/>
      </c>
      <c r="I30" s="46" t="str">
        <f>IF(ISBLANK(Sacak13[[#This Row],[ADET]]),"",SUMIF(Sacak13[Adı Soyadı],Sacak13[[#This Row],[Adı Soyadı]],Sacak13[TUTAR]))</f>
        <v/>
      </c>
    </row>
    <row r="31" spans="2:9" ht="16.5" thickTop="1" thickBot="1" x14ac:dyDescent="0.3">
      <c r="B31" s="16" t="str">
        <f>IF(ISBLANK(C31),"",SUBTOTAL(3, $C$3:C31))</f>
        <v/>
      </c>
      <c r="C31" s="32"/>
      <c r="D31" s="17"/>
      <c r="E31" s="18"/>
      <c r="F31" s="18"/>
      <c r="G31" s="45" t="str">
        <f>IF(ISBLANK(Sacak13[[#This Row],[Adı Soyadı]]),"",VLOOKUP(Sacak13[[#This Row],[Ürün Cinsi]],Fiyat[[Ölçü]:[Birim Fiyatı]],2,0))</f>
        <v/>
      </c>
      <c r="H31" s="45" t="str">
        <f>IF(ISBLANK(Sacak13[[#This Row],[Adı Soyadı]]),"",Sacak13[[#This Row],[ADET]]*Sacak13[[#This Row],[BİRİM FİYAT]])</f>
        <v/>
      </c>
      <c r="I31" s="46" t="str">
        <f>IF(ISBLANK(Sacak13[[#This Row],[ADET]]),"",SUMIF(Sacak13[Adı Soyadı],Sacak13[[#This Row],[Adı Soyadı]],Sacak13[TUTAR]))</f>
        <v/>
      </c>
    </row>
    <row r="32" spans="2:9" ht="16.5" thickTop="1" thickBot="1" x14ac:dyDescent="0.3">
      <c r="B32" s="16" t="str">
        <f>IF(ISBLANK(C32),"",SUBTOTAL(3, $C$3:C32))</f>
        <v/>
      </c>
      <c r="C32" s="32"/>
      <c r="D32" s="17"/>
      <c r="E32" s="18"/>
      <c r="F32" s="18"/>
      <c r="G32" s="45" t="str">
        <f>IF(ISBLANK(Sacak13[[#This Row],[Adı Soyadı]]),"",VLOOKUP(Sacak13[[#This Row],[Ürün Cinsi]],Fiyat[[Ölçü]:[Birim Fiyatı]],2,0))</f>
        <v/>
      </c>
      <c r="H32" s="45" t="str">
        <f>IF(ISBLANK(Sacak13[[#This Row],[Adı Soyadı]]),"",Sacak13[[#This Row],[ADET]]*Sacak13[[#This Row],[BİRİM FİYAT]])</f>
        <v/>
      </c>
      <c r="I32" s="46" t="str">
        <f>IF(ISBLANK(Sacak13[[#This Row],[ADET]]),"",SUMIF(Sacak13[Adı Soyadı],Sacak13[[#This Row],[Adı Soyadı]],Sacak13[TUTAR]))</f>
        <v/>
      </c>
    </row>
    <row r="33" spans="2:9" ht="16.5" thickTop="1" thickBot="1" x14ac:dyDescent="0.3">
      <c r="B33" s="16" t="str">
        <f>IF(ISBLANK(C33),"",SUBTOTAL(3, $C$3:C33))</f>
        <v/>
      </c>
      <c r="C33" s="32"/>
      <c r="D33" s="17"/>
      <c r="E33" s="18"/>
      <c r="F33" s="18"/>
      <c r="G33" s="45" t="str">
        <f>IF(ISBLANK(Sacak13[[#This Row],[Adı Soyadı]]),"",VLOOKUP(Sacak13[[#This Row],[Ürün Cinsi]],Fiyat[[Ölçü]:[Birim Fiyatı]],2,0))</f>
        <v/>
      </c>
      <c r="H33" s="45" t="str">
        <f>IF(ISBLANK(Sacak13[[#This Row],[Adı Soyadı]]),"",Sacak13[[#This Row],[ADET]]*Sacak13[[#This Row],[BİRİM FİYAT]])</f>
        <v/>
      </c>
      <c r="I33" s="46" t="str">
        <f>IF(ISBLANK(Sacak13[[#This Row],[ADET]]),"",SUMIF(Sacak13[Adı Soyadı],Sacak13[[#This Row],[Adı Soyadı]],Sacak13[TUTAR]))</f>
        <v/>
      </c>
    </row>
    <row r="34" spans="2:9" ht="16.5" thickTop="1" thickBot="1" x14ac:dyDescent="0.3">
      <c r="B34" s="16" t="str">
        <f>IF(ISBLANK(C34),"",SUBTOTAL(3, $C$3:C34))</f>
        <v/>
      </c>
      <c r="C34" s="32"/>
      <c r="D34" s="17"/>
      <c r="E34" s="18"/>
      <c r="F34" s="18"/>
      <c r="G34" s="45" t="str">
        <f>IF(ISBLANK(Sacak13[[#This Row],[Adı Soyadı]]),"",VLOOKUP(Sacak13[[#This Row],[Ürün Cinsi]],Fiyat[[Ölçü]:[Birim Fiyatı]],2,0))</f>
        <v/>
      </c>
      <c r="H34" s="45" t="str">
        <f>IF(ISBLANK(Sacak13[[#This Row],[Adı Soyadı]]),"",Sacak13[[#This Row],[ADET]]*Sacak13[[#This Row],[BİRİM FİYAT]])</f>
        <v/>
      </c>
      <c r="I34" s="46" t="str">
        <f>IF(ISBLANK(Sacak13[[#This Row],[ADET]]),"",SUMIF(Sacak13[Adı Soyadı],Sacak13[[#This Row],[Adı Soyadı]],Sacak13[TUTAR]))</f>
        <v/>
      </c>
    </row>
    <row r="35" spans="2:9" ht="16.5" thickTop="1" thickBot="1" x14ac:dyDescent="0.3">
      <c r="B35" s="16" t="str">
        <f>IF(ISBLANK(C35),"",SUBTOTAL(3, $C$3:C35))</f>
        <v/>
      </c>
      <c r="C35" s="32"/>
      <c r="D35" s="17"/>
      <c r="E35" s="18"/>
      <c r="F35" s="18"/>
      <c r="G35" s="45" t="str">
        <f>IF(ISBLANK(Sacak13[[#This Row],[Adı Soyadı]]),"",VLOOKUP(Sacak13[[#This Row],[Ürün Cinsi]],Fiyat[[Ölçü]:[Birim Fiyatı]],2,0))</f>
        <v/>
      </c>
      <c r="H35" s="45" t="str">
        <f>IF(ISBLANK(Sacak13[[#This Row],[Adı Soyadı]]),"",Sacak13[[#This Row],[ADET]]*Sacak13[[#This Row],[BİRİM FİYAT]])</f>
        <v/>
      </c>
      <c r="I35" s="46" t="str">
        <f>IF(ISBLANK(Sacak13[[#This Row],[ADET]]),"",SUMIF(Sacak13[Adı Soyadı],Sacak13[[#This Row],[Adı Soyadı]],Sacak13[TUTAR]))</f>
        <v/>
      </c>
    </row>
    <row r="36" spans="2:9" ht="16.5" thickTop="1" thickBot="1" x14ac:dyDescent="0.3">
      <c r="B36" s="16" t="str">
        <f>IF(ISBLANK(C36),"",SUBTOTAL(3, $C$3:C36))</f>
        <v/>
      </c>
      <c r="C36" s="32"/>
      <c r="D36" s="17"/>
      <c r="E36" s="18"/>
      <c r="F36" s="18"/>
      <c r="G36" s="45" t="str">
        <f>IF(ISBLANK(Sacak13[[#This Row],[Adı Soyadı]]),"",VLOOKUP(Sacak13[[#This Row],[Ürün Cinsi]],Fiyat[[Ölçü]:[Birim Fiyatı]],2,0))</f>
        <v/>
      </c>
      <c r="H36" s="45" t="str">
        <f>IF(ISBLANK(Sacak13[[#This Row],[Adı Soyadı]]),"",Sacak13[[#This Row],[ADET]]*Sacak13[[#This Row],[BİRİM FİYAT]])</f>
        <v/>
      </c>
      <c r="I36" s="46" t="str">
        <f>IF(ISBLANK(Sacak13[[#This Row],[ADET]]),"",SUMIF(Sacak13[Adı Soyadı],Sacak13[[#This Row],[Adı Soyadı]],Sacak13[TUTAR]))</f>
        <v/>
      </c>
    </row>
    <row r="37" spans="2:9" ht="16.5" thickTop="1" thickBot="1" x14ac:dyDescent="0.3">
      <c r="B37" s="16" t="str">
        <f>IF(ISBLANK(C37),"",SUBTOTAL(3, $C$3:C37))</f>
        <v/>
      </c>
      <c r="C37" s="32"/>
      <c r="D37" s="17"/>
      <c r="E37" s="18"/>
      <c r="F37" s="18"/>
      <c r="G37" s="45" t="str">
        <f>IF(ISBLANK(Sacak13[[#This Row],[Adı Soyadı]]),"",VLOOKUP(Sacak13[[#This Row],[Ürün Cinsi]],Fiyat[[Ölçü]:[Birim Fiyatı]],2,0))</f>
        <v/>
      </c>
      <c r="H37" s="45" t="str">
        <f>IF(ISBLANK(Sacak13[[#This Row],[Adı Soyadı]]),"",Sacak13[[#This Row],[ADET]]*Sacak13[[#This Row],[BİRİM FİYAT]])</f>
        <v/>
      </c>
      <c r="I37" s="46" t="str">
        <f>IF(ISBLANK(Sacak13[[#This Row],[ADET]]),"",SUMIF(Sacak13[Adı Soyadı],Sacak13[[#This Row],[Adı Soyadı]],Sacak13[TUTAR]))</f>
        <v/>
      </c>
    </row>
    <row r="38" spans="2:9" ht="16.5" thickTop="1" thickBot="1" x14ac:dyDescent="0.3">
      <c r="B38" s="16" t="str">
        <f>IF(ISBLANK(C38),"",SUBTOTAL(3, $C$3:C38))</f>
        <v/>
      </c>
      <c r="C38" s="32"/>
      <c r="D38" s="17"/>
      <c r="E38" s="18"/>
      <c r="F38" s="18"/>
      <c r="G38" s="45" t="str">
        <f>IF(ISBLANK(Sacak13[[#This Row],[Adı Soyadı]]),"",VLOOKUP(Sacak13[[#This Row],[Ürün Cinsi]],Fiyat[[Ölçü]:[Birim Fiyatı]],2,0))</f>
        <v/>
      </c>
      <c r="H38" s="45" t="str">
        <f>IF(ISBLANK(Sacak13[[#This Row],[Adı Soyadı]]),"",Sacak13[[#This Row],[ADET]]*Sacak13[[#This Row],[BİRİM FİYAT]])</f>
        <v/>
      </c>
      <c r="I38" s="46" t="str">
        <f>IF(ISBLANK(Sacak13[[#This Row],[ADET]]),"",SUMIF(Sacak13[Adı Soyadı],Sacak13[[#This Row],[Adı Soyadı]],Sacak13[TUTAR]))</f>
        <v/>
      </c>
    </row>
    <row r="39" spans="2:9" ht="16.5" thickTop="1" thickBot="1" x14ac:dyDescent="0.3">
      <c r="B39" s="16" t="str">
        <f>IF(ISBLANK(C39),"",SUBTOTAL(3, $C$3:C39))</f>
        <v/>
      </c>
      <c r="C39" s="32"/>
      <c r="D39" s="17"/>
      <c r="E39" s="18"/>
      <c r="F39" s="18"/>
      <c r="G39" s="45" t="str">
        <f>IF(ISBLANK(Sacak13[[#This Row],[Adı Soyadı]]),"",VLOOKUP(Sacak13[[#This Row],[Ürün Cinsi]],Fiyat[[Ölçü]:[Birim Fiyatı]],2,0))</f>
        <v/>
      </c>
      <c r="H39" s="45" t="str">
        <f>IF(ISBLANK(Sacak13[[#This Row],[Adı Soyadı]]),"",Sacak13[[#This Row],[ADET]]*Sacak13[[#This Row],[BİRİM FİYAT]])</f>
        <v/>
      </c>
      <c r="I39" s="46" t="str">
        <f>IF(ISBLANK(Sacak13[[#This Row],[ADET]]),"",SUMIF(Sacak13[Adı Soyadı],Sacak13[[#This Row],[Adı Soyadı]],Sacak13[TUTAR]))</f>
        <v/>
      </c>
    </row>
    <row r="40" spans="2:9" ht="16.5" thickTop="1" thickBot="1" x14ac:dyDescent="0.3">
      <c r="B40" s="16" t="str">
        <f>IF(ISBLANK(C40),"",SUBTOTAL(3, $C$3:C40))</f>
        <v/>
      </c>
      <c r="C40" s="32"/>
      <c r="D40" s="17"/>
      <c r="E40" s="18"/>
      <c r="F40" s="18"/>
      <c r="G40" s="45" t="str">
        <f>IF(ISBLANK(Sacak13[[#This Row],[Adı Soyadı]]),"",VLOOKUP(Sacak13[[#This Row],[Ürün Cinsi]],Fiyat[[Ölçü]:[Birim Fiyatı]],2,0))</f>
        <v/>
      </c>
      <c r="H40" s="45" t="str">
        <f>IF(ISBLANK(Sacak13[[#This Row],[Adı Soyadı]]),"",Sacak13[[#This Row],[ADET]]*Sacak13[[#This Row],[BİRİM FİYAT]])</f>
        <v/>
      </c>
      <c r="I40" s="46" t="str">
        <f>IF(ISBLANK(Sacak13[[#This Row],[ADET]]),"",SUMIF(Sacak13[Adı Soyadı],Sacak13[[#This Row],[Adı Soyadı]],Sacak13[TUTAR]))</f>
        <v/>
      </c>
    </row>
    <row r="41" spans="2:9" ht="16.5" thickTop="1" thickBot="1" x14ac:dyDescent="0.3">
      <c r="B41" s="16" t="str">
        <f>IF(ISBLANK(C41),"",SUBTOTAL(3, $C$3:C41))</f>
        <v/>
      </c>
      <c r="C41" s="32"/>
      <c r="D41" s="17"/>
      <c r="E41" s="18"/>
      <c r="F41" s="18"/>
      <c r="G41" s="45" t="str">
        <f>IF(ISBLANK(Sacak13[[#This Row],[Adı Soyadı]]),"",VLOOKUP(Sacak13[[#This Row],[Ürün Cinsi]],Fiyat[[Ölçü]:[Birim Fiyatı]],2,0))</f>
        <v/>
      </c>
      <c r="H41" s="45" t="str">
        <f>IF(ISBLANK(Sacak13[[#This Row],[Adı Soyadı]]),"",Sacak13[[#This Row],[ADET]]*Sacak13[[#This Row],[BİRİM FİYAT]])</f>
        <v/>
      </c>
      <c r="I41" s="46" t="str">
        <f>IF(ISBLANK(Sacak13[[#This Row],[ADET]]),"",SUMIF(Sacak13[Adı Soyadı],Sacak13[[#This Row],[Adı Soyadı]],Sacak13[TUTAR]))</f>
        <v/>
      </c>
    </row>
    <row r="42" spans="2:9" ht="16.5" thickTop="1" thickBot="1" x14ac:dyDescent="0.3">
      <c r="B42" s="16" t="str">
        <f>IF(ISBLANK(C42),"",SUBTOTAL(3, $C$3:C42))</f>
        <v/>
      </c>
      <c r="C42" s="32"/>
      <c r="D42" s="17"/>
      <c r="E42" s="18"/>
      <c r="F42" s="18"/>
      <c r="G42" s="45" t="str">
        <f>IF(ISBLANK(Sacak13[[#This Row],[Adı Soyadı]]),"",VLOOKUP(Sacak13[[#This Row],[Ürün Cinsi]],Fiyat[[Ölçü]:[Birim Fiyatı]],2,0))</f>
        <v/>
      </c>
      <c r="H42" s="45" t="str">
        <f>IF(ISBLANK(Sacak13[[#This Row],[Adı Soyadı]]),"",Sacak13[[#This Row],[ADET]]*Sacak13[[#This Row],[BİRİM FİYAT]])</f>
        <v/>
      </c>
      <c r="I42" s="46" t="str">
        <f>IF(ISBLANK(Sacak13[[#This Row],[ADET]]),"",SUMIF(Sacak13[Adı Soyadı],Sacak13[[#This Row],[Adı Soyadı]],Sacak13[TUTAR]))</f>
        <v/>
      </c>
    </row>
    <row r="43" spans="2:9" ht="16.5" thickTop="1" thickBot="1" x14ac:dyDescent="0.3">
      <c r="B43" s="16" t="str">
        <f>IF(ISBLANK(C43),"",SUBTOTAL(3, $C$3:C43))</f>
        <v/>
      </c>
      <c r="C43" s="32"/>
      <c r="D43" s="17"/>
      <c r="E43" s="18"/>
      <c r="F43" s="18"/>
      <c r="G43" s="45" t="str">
        <f>IF(ISBLANK(Sacak13[[#This Row],[Adı Soyadı]]),"",VLOOKUP(Sacak13[[#This Row],[Ürün Cinsi]],Fiyat[[Ölçü]:[Birim Fiyatı]],2,0))</f>
        <v/>
      </c>
      <c r="H43" s="45" t="str">
        <f>IF(ISBLANK(Sacak13[[#This Row],[Adı Soyadı]]),"",Sacak13[[#This Row],[ADET]]*Sacak13[[#This Row],[BİRİM FİYAT]])</f>
        <v/>
      </c>
      <c r="I43" s="46" t="str">
        <f>IF(ISBLANK(Sacak13[[#This Row],[ADET]]),"",SUMIF(Sacak13[Adı Soyadı],Sacak13[[#This Row],[Adı Soyadı]],Sacak13[TUTAR]))</f>
        <v/>
      </c>
    </row>
    <row r="44" spans="2:9" ht="16.5" thickTop="1" thickBot="1" x14ac:dyDescent="0.3">
      <c r="B44" s="16" t="str">
        <f>IF(ISBLANK(C44),"",SUBTOTAL(3, $C$3:C44))</f>
        <v/>
      </c>
      <c r="C44" s="32"/>
      <c r="D44" s="17"/>
      <c r="E44" s="18"/>
      <c r="F44" s="18"/>
      <c r="G44" s="45" t="str">
        <f>IF(ISBLANK(Sacak13[[#This Row],[Adı Soyadı]]),"",VLOOKUP(Sacak13[[#This Row],[Ürün Cinsi]],Fiyat[[Ölçü]:[Birim Fiyatı]],2,0))</f>
        <v/>
      </c>
      <c r="H44" s="45" t="str">
        <f>IF(ISBLANK(Sacak13[[#This Row],[Adı Soyadı]]),"",Sacak13[[#This Row],[ADET]]*Sacak13[[#This Row],[BİRİM FİYAT]])</f>
        <v/>
      </c>
      <c r="I44" s="46" t="str">
        <f>IF(ISBLANK(Sacak13[[#This Row],[ADET]]),"",SUMIF(Sacak13[Adı Soyadı],Sacak13[[#This Row],[Adı Soyadı]],Sacak13[TUTAR]))</f>
        <v/>
      </c>
    </row>
    <row r="45" spans="2:9" ht="16.5" thickTop="1" thickBot="1" x14ac:dyDescent="0.3">
      <c r="B45" s="16" t="str">
        <f>IF(ISBLANK(C45),"",SUBTOTAL(3, $C$3:C45))</f>
        <v/>
      </c>
      <c r="C45" s="32"/>
      <c r="D45" s="17"/>
      <c r="E45" s="18"/>
      <c r="F45" s="18"/>
      <c r="G45" s="45" t="str">
        <f>IF(ISBLANK(Sacak13[[#This Row],[Adı Soyadı]]),"",VLOOKUP(Sacak13[[#This Row],[Ürün Cinsi]],Fiyat[[Ölçü]:[Birim Fiyatı]],2,0))</f>
        <v/>
      </c>
      <c r="H45" s="45" t="str">
        <f>IF(ISBLANK(Sacak13[[#This Row],[Adı Soyadı]]),"",Sacak13[[#This Row],[ADET]]*Sacak13[[#This Row],[BİRİM FİYAT]])</f>
        <v/>
      </c>
      <c r="I45" s="46" t="str">
        <f>IF(ISBLANK(Sacak13[[#This Row],[ADET]]),"",SUMIF(Sacak13[Adı Soyadı],Sacak13[[#This Row],[Adı Soyadı]],Sacak13[TUTAR]))</f>
        <v/>
      </c>
    </row>
    <row r="46" spans="2:9" ht="16.5" thickTop="1" thickBot="1" x14ac:dyDescent="0.3">
      <c r="B46" s="16" t="str">
        <f>IF(ISBLANK(C46),"",SUBTOTAL(3, $C$3:C46))</f>
        <v/>
      </c>
      <c r="C46" s="32"/>
      <c r="D46" s="17"/>
      <c r="E46" s="18"/>
      <c r="F46" s="18"/>
      <c r="G46" s="45" t="str">
        <f>IF(ISBLANK(Sacak13[[#This Row],[Adı Soyadı]]),"",VLOOKUP(Sacak13[[#This Row],[Ürün Cinsi]],Fiyat[[Ölçü]:[Birim Fiyatı]],2,0))</f>
        <v/>
      </c>
      <c r="H46" s="45" t="str">
        <f>IF(ISBLANK(Sacak13[[#This Row],[Adı Soyadı]]),"",Sacak13[[#This Row],[ADET]]*Sacak13[[#This Row],[BİRİM FİYAT]])</f>
        <v/>
      </c>
      <c r="I46" s="46" t="str">
        <f>IF(ISBLANK(Sacak13[[#This Row],[ADET]]),"",SUMIF(Sacak13[Adı Soyadı],Sacak13[[#This Row],[Adı Soyadı]],Sacak13[TUTAR]))</f>
        <v/>
      </c>
    </row>
    <row r="47" spans="2:9" ht="16.5" thickTop="1" thickBot="1" x14ac:dyDescent="0.3">
      <c r="B47" s="16" t="str">
        <f>IF(ISBLANK(C47),"",SUBTOTAL(3, $C$3:C47))</f>
        <v/>
      </c>
      <c r="C47" s="32"/>
      <c r="D47" s="17"/>
      <c r="E47" s="18"/>
      <c r="F47" s="18"/>
      <c r="G47" s="45" t="str">
        <f>IF(ISBLANK(Sacak13[[#This Row],[Adı Soyadı]]),"",VLOOKUP(Sacak13[[#This Row],[Ürün Cinsi]],Fiyat[[Ölçü]:[Birim Fiyatı]],2,0))</f>
        <v/>
      </c>
      <c r="H47" s="45" t="str">
        <f>IF(ISBLANK(Sacak13[[#This Row],[Adı Soyadı]]),"",Sacak13[[#This Row],[ADET]]*Sacak13[[#This Row],[BİRİM FİYAT]])</f>
        <v/>
      </c>
      <c r="I47" s="46" t="str">
        <f>IF(ISBLANK(Sacak13[[#This Row],[ADET]]),"",SUMIF(Sacak13[Adı Soyadı],Sacak13[[#This Row],[Adı Soyadı]],Sacak13[TUTAR]))</f>
        <v/>
      </c>
    </row>
    <row r="48" spans="2:9" ht="16.5" thickTop="1" thickBot="1" x14ac:dyDescent="0.3">
      <c r="B48" s="16" t="str">
        <f>IF(ISBLANK(C48),"",SUBTOTAL(3, $C$3:C48))</f>
        <v/>
      </c>
      <c r="C48" s="32"/>
      <c r="D48" s="17"/>
      <c r="E48" s="18"/>
      <c r="F48" s="18"/>
      <c r="G48" s="45" t="str">
        <f>IF(ISBLANK(Sacak13[[#This Row],[Adı Soyadı]]),"",VLOOKUP(Sacak13[[#This Row],[Ürün Cinsi]],Fiyat[[Ölçü]:[Birim Fiyatı]],2,0))</f>
        <v/>
      </c>
      <c r="H48" s="45" t="str">
        <f>IF(ISBLANK(Sacak13[[#This Row],[Adı Soyadı]]),"",Sacak13[[#This Row],[ADET]]*Sacak13[[#This Row],[BİRİM FİYAT]])</f>
        <v/>
      </c>
      <c r="I48" s="46" t="str">
        <f>IF(ISBLANK(Sacak13[[#This Row],[ADET]]),"",SUMIF(Sacak13[Adı Soyadı],Sacak13[[#This Row],[Adı Soyadı]],Sacak13[TUTAR]))</f>
        <v/>
      </c>
    </row>
    <row r="49" spans="2:9" ht="16.5" thickTop="1" thickBot="1" x14ac:dyDescent="0.3">
      <c r="B49" s="16" t="str">
        <f>IF(ISBLANK(C49),"",SUBTOTAL(3, $C$3:C49))</f>
        <v/>
      </c>
      <c r="C49" s="32"/>
      <c r="D49" s="17"/>
      <c r="E49" s="18"/>
      <c r="F49" s="18"/>
      <c r="G49" s="45" t="str">
        <f>IF(ISBLANK(Sacak13[[#This Row],[Adı Soyadı]]),"",VLOOKUP(Sacak13[[#This Row],[Ürün Cinsi]],Fiyat[[Ölçü]:[Birim Fiyatı]],2,0))</f>
        <v/>
      </c>
      <c r="H49" s="45" t="str">
        <f>IF(ISBLANK(Sacak13[[#This Row],[Adı Soyadı]]),"",Sacak13[[#This Row],[ADET]]*Sacak13[[#This Row],[BİRİM FİYAT]])</f>
        <v/>
      </c>
      <c r="I49" s="46" t="str">
        <f>IF(ISBLANK(Sacak13[[#This Row],[ADET]]),"",SUMIF(Sacak13[Adı Soyadı],Sacak13[[#This Row],[Adı Soyadı]],Sacak13[TUTAR]))</f>
        <v/>
      </c>
    </row>
    <row r="50" spans="2:9" ht="16.5" thickTop="1" thickBot="1" x14ac:dyDescent="0.3">
      <c r="B50" s="16" t="str">
        <f>IF(ISBLANK(C50),"",SUBTOTAL(3, $C$3:C50))</f>
        <v/>
      </c>
      <c r="C50" s="32"/>
      <c r="D50" s="17"/>
      <c r="E50" s="18"/>
      <c r="F50" s="18"/>
      <c r="G50" s="45" t="str">
        <f>IF(ISBLANK(Sacak13[[#This Row],[Adı Soyadı]]),"",VLOOKUP(Sacak13[[#This Row],[Ürün Cinsi]],Fiyat[[Ölçü]:[Birim Fiyatı]],2,0))</f>
        <v/>
      </c>
      <c r="H50" s="45" t="str">
        <f>IF(ISBLANK(Sacak13[[#This Row],[Adı Soyadı]]),"",Sacak13[[#This Row],[ADET]]*Sacak13[[#This Row],[BİRİM FİYAT]])</f>
        <v/>
      </c>
      <c r="I50" s="46" t="str">
        <f>IF(ISBLANK(Sacak13[[#This Row],[ADET]]),"",SUMIF(Sacak13[Adı Soyadı],Sacak13[[#This Row],[Adı Soyadı]],Sacak13[TUTAR]))</f>
        <v/>
      </c>
    </row>
    <row r="51" spans="2:9" ht="16.5" thickTop="1" thickBot="1" x14ac:dyDescent="0.3">
      <c r="B51" s="16" t="str">
        <f>IF(ISBLANK(C51),"",SUBTOTAL(3, $C$3:C51))</f>
        <v/>
      </c>
      <c r="C51" s="32"/>
      <c r="D51" s="17"/>
      <c r="E51" s="18"/>
      <c r="F51" s="18"/>
      <c r="G51" s="45" t="str">
        <f>IF(ISBLANK(Sacak13[[#This Row],[Adı Soyadı]]),"",VLOOKUP(Sacak13[[#This Row],[Ürün Cinsi]],Fiyat[[Ölçü]:[Birim Fiyatı]],2,0))</f>
        <v/>
      </c>
      <c r="H51" s="45" t="str">
        <f>IF(ISBLANK(Sacak13[[#This Row],[Adı Soyadı]]),"",Sacak13[[#This Row],[ADET]]*Sacak13[[#This Row],[BİRİM FİYAT]])</f>
        <v/>
      </c>
      <c r="I51" s="46" t="str">
        <f>IF(ISBLANK(Sacak13[[#This Row],[ADET]]),"",SUMIF(Sacak13[Adı Soyadı],Sacak13[[#This Row],[Adı Soyadı]],Sacak13[TUTAR]))</f>
        <v/>
      </c>
    </row>
    <row r="52" spans="2:9" ht="16.5" thickTop="1" thickBot="1" x14ac:dyDescent="0.3">
      <c r="B52" s="16" t="str">
        <f>IF(ISBLANK(C52),"",SUBTOTAL(3, $C$3:C52))</f>
        <v/>
      </c>
      <c r="C52" s="32"/>
      <c r="D52" s="17"/>
      <c r="E52" s="18"/>
      <c r="F52" s="18"/>
      <c r="G52" s="45" t="str">
        <f>IF(ISBLANK(Sacak13[[#This Row],[Adı Soyadı]]),"",VLOOKUP(Sacak13[[#This Row],[Ürün Cinsi]],Fiyat[[Ölçü]:[Birim Fiyatı]],2,0))</f>
        <v/>
      </c>
      <c r="H52" s="45" t="str">
        <f>IF(ISBLANK(Sacak13[[#This Row],[Adı Soyadı]]),"",Sacak13[[#This Row],[ADET]]*Sacak13[[#This Row],[BİRİM FİYAT]])</f>
        <v/>
      </c>
      <c r="I52" s="46" t="str">
        <f>IF(ISBLANK(Sacak13[[#This Row],[ADET]]),"",SUMIF(Sacak13[Adı Soyadı],Sacak13[[#This Row],[Adı Soyadı]],Sacak13[TUTAR]))</f>
        <v/>
      </c>
    </row>
    <row r="53" spans="2:9" ht="16.5" thickTop="1" thickBot="1" x14ac:dyDescent="0.3">
      <c r="B53" s="16" t="str">
        <f>IF(ISBLANK(C53),"",SUBTOTAL(3, $C$3:C53))</f>
        <v/>
      </c>
      <c r="C53" s="32"/>
      <c r="D53" s="17"/>
      <c r="E53" s="18"/>
      <c r="F53" s="18"/>
      <c r="G53" s="45" t="str">
        <f>IF(ISBLANK(Sacak13[[#This Row],[Adı Soyadı]]),"",VLOOKUP(Sacak13[[#This Row],[Ürün Cinsi]],Fiyat[[Ölçü]:[Birim Fiyatı]],2,0))</f>
        <v/>
      </c>
      <c r="H53" s="45" t="str">
        <f>IF(ISBLANK(Sacak13[[#This Row],[Adı Soyadı]]),"",Sacak13[[#This Row],[ADET]]*Sacak13[[#This Row],[BİRİM FİYAT]])</f>
        <v/>
      </c>
      <c r="I53" s="46" t="str">
        <f>IF(ISBLANK(Sacak13[[#This Row],[ADET]]),"",SUMIF(Sacak13[Adı Soyadı],Sacak13[[#This Row],[Adı Soyadı]],Sacak13[TUTAR]))</f>
        <v/>
      </c>
    </row>
    <row r="54" spans="2:9" ht="16.5" thickTop="1" thickBot="1" x14ac:dyDescent="0.3">
      <c r="B54" s="16" t="str">
        <f>IF(ISBLANK(C54),"",SUBTOTAL(3, $C$3:C54))</f>
        <v/>
      </c>
      <c r="C54" s="32"/>
      <c r="D54" s="17"/>
      <c r="E54" s="18"/>
      <c r="F54" s="18"/>
      <c r="G54" s="45" t="str">
        <f>IF(ISBLANK(Sacak13[[#This Row],[Adı Soyadı]]),"",VLOOKUP(Sacak13[[#This Row],[Ürün Cinsi]],Fiyat[[Ölçü]:[Birim Fiyatı]],2,0))</f>
        <v/>
      </c>
      <c r="H54" s="45" t="str">
        <f>IF(ISBLANK(Sacak13[[#This Row],[Adı Soyadı]]),"",Sacak13[[#This Row],[ADET]]*Sacak13[[#This Row],[BİRİM FİYAT]])</f>
        <v/>
      </c>
      <c r="I54" s="46" t="str">
        <f>IF(ISBLANK(Sacak13[[#This Row],[ADET]]),"",SUMIF(Sacak13[Adı Soyadı],Sacak13[[#This Row],[Adı Soyadı]],Sacak13[TUTAR]))</f>
        <v/>
      </c>
    </row>
    <row r="55" spans="2:9" ht="16.5" thickTop="1" thickBot="1" x14ac:dyDescent="0.3">
      <c r="B55" s="16" t="str">
        <f>IF(ISBLANK(C55),"",SUBTOTAL(3, $C$3:C55))</f>
        <v/>
      </c>
      <c r="C55" s="32"/>
      <c r="D55" s="17"/>
      <c r="E55" s="18"/>
      <c r="F55" s="18"/>
      <c r="G55" s="45" t="str">
        <f>IF(ISBLANK(Sacak13[[#This Row],[Adı Soyadı]]),"",VLOOKUP(Sacak13[[#This Row],[Ürün Cinsi]],Fiyat[[Ölçü]:[Birim Fiyatı]],2,0))</f>
        <v/>
      </c>
      <c r="H55" s="45" t="str">
        <f>IF(ISBLANK(Sacak13[[#This Row],[Adı Soyadı]]),"",Sacak13[[#This Row],[ADET]]*Sacak13[[#This Row],[BİRİM FİYAT]])</f>
        <v/>
      </c>
      <c r="I55" s="46" t="str">
        <f>IF(ISBLANK(Sacak13[[#This Row],[ADET]]),"",SUMIF(Sacak13[Adı Soyadı],Sacak13[[#This Row],[Adı Soyadı]],Sacak13[TUTAR]))</f>
        <v/>
      </c>
    </row>
    <row r="56" spans="2:9" ht="16.5" thickTop="1" thickBot="1" x14ac:dyDescent="0.3">
      <c r="B56" s="16" t="str">
        <f>IF(ISBLANK(C56),"",SUBTOTAL(3, $C$3:C56))</f>
        <v/>
      </c>
      <c r="C56" s="32"/>
      <c r="D56" s="17"/>
      <c r="E56" s="18"/>
      <c r="F56" s="18"/>
      <c r="G56" s="45" t="str">
        <f>IF(ISBLANK(Sacak13[[#This Row],[Adı Soyadı]]),"",VLOOKUP(Sacak13[[#This Row],[Ürün Cinsi]],Fiyat[[Ölçü]:[Birim Fiyatı]],2,0))</f>
        <v/>
      </c>
      <c r="H56" s="45" t="str">
        <f>IF(ISBLANK(Sacak13[[#This Row],[Adı Soyadı]]),"",Sacak13[[#This Row],[ADET]]*Sacak13[[#This Row],[BİRİM FİYAT]])</f>
        <v/>
      </c>
      <c r="I56" s="46" t="str">
        <f>IF(ISBLANK(Sacak13[[#This Row],[ADET]]),"",SUMIF(Sacak13[Adı Soyadı],Sacak13[[#This Row],[Adı Soyadı]],Sacak13[TUTAR]))</f>
        <v/>
      </c>
    </row>
    <row r="57" spans="2:9" ht="16.5" thickTop="1" thickBot="1" x14ac:dyDescent="0.3">
      <c r="B57" s="16" t="str">
        <f>IF(ISBLANK(C57),"",SUBTOTAL(3, $C$3:C57))</f>
        <v/>
      </c>
      <c r="C57" s="32"/>
      <c r="D57" s="17"/>
      <c r="E57" s="18"/>
      <c r="F57" s="18"/>
      <c r="G57" s="45" t="str">
        <f>IF(ISBLANK(Sacak13[[#This Row],[Adı Soyadı]]),"",VLOOKUP(Sacak13[[#This Row],[Ürün Cinsi]],Fiyat[[Ölçü]:[Birim Fiyatı]],2,0))</f>
        <v/>
      </c>
      <c r="H57" s="45" t="str">
        <f>IF(ISBLANK(Sacak13[[#This Row],[Adı Soyadı]]),"",Sacak13[[#This Row],[ADET]]*Sacak13[[#This Row],[BİRİM FİYAT]])</f>
        <v/>
      </c>
      <c r="I57" s="46" t="str">
        <f>IF(ISBLANK(Sacak13[[#This Row],[ADET]]),"",SUMIF(Sacak13[Adı Soyadı],Sacak13[[#This Row],[Adı Soyadı]],Sacak13[TUTAR]))</f>
        <v/>
      </c>
    </row>
    <row r="58" spans="2:9" ht="16.5" thickTop="1" thickBot="1" x14ac:dyDescent="0.3">
      <c r="B58" s="16" t="str">
        <f>IF(ISBLANK(C58),"",SUBTOTAL(3, $C$3:C58))</f>
        <v/>
      </c>
      <c r="C58" s="32"/>
      <c r="D58" s="17"/>
      <c r="E58" s="18"/>
      <c r="F58" s="18"/>
      <c r="G58" s="45" t="str">
        <f>IF(ISBLANK(Sacak13[[#This Row],[Adı Soyadı]]),"",VLOOKUP(Sacak13[[#This Row],[Ürün Cinsi]],Fiyat[[Ölçü]:[Birim Fiyatı]],2,0))</f>
        <v/>
      </c>
      <c r="H58" s="45" t="str">
        <f>IF(ISBLANK(Sacak13[[#This Row],[Adı Soyadı]]),"",Sacak13[[#This Row],[ADET]]*Sacak13[[#This Row],[BİRİM FİYAT]])</f>
        <v/>
      </c>
      <c r="I58" s="46" t="str">
        <f>IF(ISBLANK(Sacak13[[#This Row],[ADET]]),"",SUMIF(Sacak13[Adı Soyadı],Sacak13[[#This Row],[Adı Soyadı]],Sacak13[TUTAR]))</f>
        <v/>
      </c>
    </row>
    <row r="59" spans="2:9" ht="16.5" thickTop="1" thickBot="1" x14ac:dyDescent="0.3">
      <c r="B59" s="16" t="str">
        <f>IF(ISBLANK(C59),"",SUBTOTAL(3, $C$3:C59))</f>
        <v/>
      </c>
      <c r="C59" s="32"/>
      <c r="D59" s="17"/>
      <c r="E59" s="18"/>
      <c r="F59" s="18"/>
      <c r="G59" s="45" t="str">
        <f>IF(ISBLANK(Sacak13[[#This Row],[Adı Soyadı]]),"",VLOOKUP(Sacak13[[#This Row],[Ürün Cinsi]],Fiyat[[Ölçü]:[Birim Fiyatı]],2,0))</f>
        <v/>
      </c>
      <c r="H59" s="45" t="str">
        <f>IF(ISBLANK(Sacak13[[#This Row],[Adı Soyadı]]),"",Sacak13[[#This Row],[ADET]]*Sacak13[[#This Row],[BİRİM FİYAT]])</f>
        <v/>
      </c>
      <c r="I59" s="46" t="str">
        <f>IF(ISBLANK(Sacak13[[#This Row],[ADET]]),"",SUMIF(Sacak13[Adı Soyadı],Sacak13[[#This Row],[Adı Soyadı]],Sacak13[TUTAR]))</f>
        <v/>
      </c>
    </row>
    <row r="60" spans="2:9" ht="16.5" thickTop="1" thickBot="1" x14ac:dyDescent="0.3">
      <c r="B60" s="16" t="str">
        <f>IF(ISBLANK(C60),"",SUBTOTAL(3, $C$3:C60))</f>
        <v/>
      </c>
      <c r="C60" s="32"/>
      <c r="D60" s="17"/>
      <c r="E60" s="18"/>
      <c r="F60" s="18"/>
      <c r="G60" s="45" t="str">
        <f>IF(ISBLANK(Sacak13[[#This Row],[Adı Soyadı]]),"",VLOOKUP(Sacak13[[#This Row],[Ürün Cinsi]],Fiyat[[Ölçü]:[Birim Fiyatı]],2,0))</f>
        <v/>
      </c>
      <c r="H60" s="45" t="str">
        <f>IF(ISBLANK(Sacak13[[#This Row],[Adı Soyadı]]),"",Sacak13[[#This Row],[ADET]]*Sacak13[[#This Row],[BİRİM FİYAT]])</f>
        <v/>
      </c>
      <c r="I60" s="46" t="str">
        <f>IF(ISBLANK(Sacak13[[#This Row],[ADET]]),"",SUMIF(Sacak13[Adı Soyadı],Sacak13[[#This Row],[Adı Soyadı]],Sacak13[TUTAR]))</f>
        <v/>
      </c>
    </row>
    <row r="61" spans="2:9" ht="16.5" thickTop="1" thickBot="1" x14ac:dyDescent="0.3">
      <c r="B61" s="16" t="str">
        <f>IF(ISBLANK(C61),"",SUBTOTAL(3, $C$3:C61))</f>
        <v/>
      </c>
      <c r="C61" s="32"/>
      <c r="D61" s="17"/>
      <c r="E61" s="18"/>
      <c r="F61" s="18"/>
      <c r="G61" s="45" t="str">
        <f>IF(ISBLANK(Sacak13[[#This Row],[Adı Soyadı]]),"",VLOOKUP(Sacak13[[#This Row],[Ürün Cinsi]],Fiyat[[Ölçü]:[Birim Fiyatı]],2,0))</f>
        <v/>
      </c>
      <c r="H61" s="45" t="str">
        <f>IF(ISBLANK(Sacak13[[#This Row],[Adı Soyadı]]),"",Sacak13[[#This Row],[ADET]]*Sacak13[[#This Row],[BİRİM FİYAT]])</f>
        <v/>
      </c>
      <c r="I61" s="46" t="str">
        <f>IF(ISBLANK(Sacak13[[#This Row],[ADET]]),"",SUMIF(Sacak13[Adı Soyadı],Sacak13[[#This Row],[Adı Soyadı]],Sacak13[TUTAR]))</f>
        <v/>
      </c>
    </row>
    <row r="62" spans="2:9" ht="16.5" thickTop="1" thickBot="1" x14ac:dyDescent="0.3">
      <c r="B62" s="16" t="str">
        <f>IF(ISBLANK(C62),"",SUBTOTAL(3, $C$3:C62))</f>
        <v/>
      </c>
      <c r="C62" s="32"/>
      <c r="D62" s="17"/>
      <c r="E62" s="18"/>
      <c r="F62" s="18"/>
      <c r="G62" s="45" t="str">
        <f>IF(ISBLANK(Sacak13[[#This Row],[Adı Soyadı]]),"",VLOOKUP(Sacak13[[#This Row],[Ürün Cinsi]],Fiyat[[Ölçü]:[Birim Fiyatı]],2,0))</f>
        <v/>
      </c>
      <c r="H62" s="45" t="str">
        <f>IF(ISBLANK(Sacak13[[#This Row],[Adı Soyadı]]),"",Sacak13[[#This Row],[ADET]]*Sacak13[[#This Row],[BİRİM FİYAT]])</f>
        <v/>
      </c>
      <c r="I62" s="46" t="str">
        <f>IF(ISBLANK(Sacak13[[#This Row],[ADET]]),"",SUMIF(Sacak13[Adı Soyadı],Sacak13[[#This Row],[Adı Soyadı]],Sacak13[TUTAR]))</f>
        <v/>
      </c>
    </row>
    <row r="63" spans="2:9" ht="16.5" thickTop="1" thickBot="1" x14ac:dyDescent="0.3">
      <c r="B63" s="16" t="str">
        <f>IF(ISBLANK(C63),"",SUBTOTAL(3, $C$3:C63))</f>
        <v/>
      </c>
      <c r="C63" s="32"/>
      <c r="D63" s="17"/>
      <c r="E63" s="18"/>
      <c r="F63" s="18"/>
      <c r="G63" s="45" t="str">
        <f>IF(ISBLANK(Sacak13[[#This Row],[Adı Soyadı]]),"",VLOOKUP(Sacak13[[#This Row],[Ürün Cinsi]],Fiyat[[Ölçü]:[Birim Fiyatı]],2,0))</f>
        <v/>
      </c>
      <c r="H63" s="45" t="str">
        <f>IF(ISBLANK(Sacak13[[#This Row],[Adı Soyadı]]),"",Sacak13[[#This Row],[ADET]]*Sacak13[[#This Row],[BİRİM FİYAT]])</f>
        <v/>
      </c>
      <c r="I63" s="46" t="str">
        <f>IF(ISBLANK(Sacak13[[#This Row],[ADET]]),"",SUMIF(Sacak13[Adı Soyadı],Sacak13[[#This Row],[Adı Soyadı]],Sacak13[TUTAR]))</f>
        <v/>
      </c>
    </row>
    <row r="64" spans="2:9" ht="16.5" thickTop="1" thickBot="1" x14ac:dyDescent="0.3">
      <c r="B64" s="16" t="str">
        <f>IF(ISBLANK(C64),"",SUBTOTAL(3, $C$3:C64))</f>
        <v/>
      </c>
      <c r="C64" s="32"/>
      <c r="D64" s="17"/>
      <c r="E64" s="18"/>
      <c r="F64" s="18"/>
      <c r="G64" s="45" t="str">
        <f>IF(ISBLANK(Sacak13[[#This Row],[Adı Soyadı]]),"",VLOOKUP(Sacak13[[#This Row],[Ürün Cinsi]],Fiyat[[Ölçü]:[Birim Fiyatı]],2,0))</f>
        <v/>
      </c>
      <c r="H64" s="45" t="str">
        <f>IF(ISBLANK(Sacak13[[#This Row],[Adı Soyadı]]),"",Sacak13[[#This Row],[ADET]]*Sacak13[[#This Row],[BİRİM FİYAT]])</f>
        <v/>
      </c>
      <c r="I64" s="46" t="str">
        <f>IF(ISBLANK(Sacak13[[#This Row],[ADET]]),"",SUMIF(Sacak13[Adı Soyadı],Sacak13[[#This Row],[Adı Soyadı]],Sacak13[TUTAR]))</f>
        <v/>
      </c>
    </row>
    <row r="65" spans="2:9" ht="16.5" thickTop="1" thickBot="1" x14ac:dyDescent="0.3">
      <c r="B65" s="16" t="str">
        <f>IF(ISBLANK(C65),"",SUBTOTAL(3, $C$3:C65))</f>
        <v/>
      </c>
      <c r="C65" s="32"/>
      <c r="D65" s="17"/>
      <c r="E65" s="18"/>
      <c r="F65" s="18"/>
      <c r="G65" s="45" t="str">
        <f>IF(ISBLANK(Sacak13[[#This Row],[Adı Soyadı]]),"",VLOOKUP(Sacak13[[#This Row],[Ürün Cinsi]],Fiyat[[Ölçü]:[Birim Fiyatı]],2,0))</f>
        <v/>
      </c>
      <c r="H65" s="45" t="str">
        <f>IF(ISBLANK(Sacak13[[#This Row],[Adı Soyadı]]),"",Sacak13[[#This Row],[ADET]]*Sacak13[[#This Row],[BİRİM FİYAT]])</f>
        <v/>
      </c>
      <c r="I65" s="46" t="str">
        <f>IF(ISBLANK(Sacak13[[#This Row],[ADET]]),"",SUMIF(Sacak13[Adı Soyadı],Sacak13[[#This Row],[Adı Soyadı]],Sacak13[TUTAR]))</f>
        <v/>
      </c>
    </row>
    <row r="66" spans="2:9" ht="16.5" thickTop="1" thickBot="1" x14ac:dyDescent="0.3">
      <c r="B66" s="16" t="str">
        <f>IF(ISBLANK(C66),"",SUBTOTAL(3, $C$3:C66))</f>
        <v/>
      </c>
      <c r="C66" s="32"/>
      <c r="D66" s="17"/>
      <c r="E66" s="18"/>
      <c r="F66" s="18"/>
      <c r="G66" s="45" t="str">
        <f>IF(ISBLANK(Sacak13[[#This Row],[Adı Soyadı]]),"",VLOOKUP(Sacak13[[#This Row],[Ürün Cinsi]],Fiyat[[Ölçü]:[Birim Fiyatı]],2,0))</f>
        <v/>
      </c>
      <c r="H66" s="45" t="str">
        <f>IF(ISBLANK(Sacak13[[#This Row],[Adı Soyadı]]),"",Sacak13[[#This Row],[ADET]]*Sacak13[[#This Row],[BİRİM FİYAT]])</f>
        <v/>
      </c>
      <c r="I66" s="46" t="str">
        <f>IF(ISBLANK(Sacak13[[#This Row],[ADET]]),"",SUMIF(Sacak13[Adı Soyadı],Sacak13[[#This Row],[Adı Soyadı]],Sacak13[TUTAR]))</f>
        <v/>
      </c>
    </row>
    <row r="67" spans="2:9" ht="16.5" thickTop="1" thickBot="1" x14ac:dyDescent="0.3">
      <c r="B67" s="16" t="str">
        <f>IF(ISBLANK(C67),"",SUBTOTAL(3, $C$3:C67))</f>
        <v/>
      </c>
      <c r="C67" s="32"/>
      <c r="D67" s="17"/>
      <c r="E67" s="18"/>
      <c r="F67" s="18"/>
      <c r="G67" s="45" t="str">
        <f>IF(ISBLANK(Sacak13[[#This Row],[Adı Soyadı]]),"",VLOOKUP(Sacak13[[#This Row],[Ürün Cinsi]],Fiyat[[Ölçü]:[Birim Fiyatı]],2,0))</f>
        <v/>
      </c>
      <c r="H67" s="45" t="str">
        <f>IF(ISBLANK(Sacak13[[#This Row],[Adı Soyadı]]),"",Sacak13[[#This Row],[ADET]]*Sacak13[[#This Row],[BİRİM FİYAT]])</f>
        <v/>
      </c>
      <c r="I67" s="46" t="str">
        <f>IF(ISBLANK(Sacak13[[#This Row],[ADET]]),"",SUMIF(Sacak13[Adı Soyadı],Sacak13[[#This Row],[Adı Soyadı]],Sacak13[TUTAR]))</f>
        <v/>
      </c>
    </row>
    <row r="68" spans="2:9" ht="16.5" thickTop="1" thickBot="1" x14ac:dyDescent="0.3">
      <c r="B68" s="16" t="str">
        <f>IF(ISBLANK(C68),"",SUBTOTAL(3, $C$3:C68))</f>
        <v/>
      </c>
      <c r="C68" s="32"/>
      <c r="D68" s="17"/>
      <c r="E68" s="18"/>
      <c r="F68" s="18"/>
      <c r="G68" s="45" t="str">
        <f>IF(ISBLANK(Sacak13[[#This Row],[Adı Soyadı]]),"",VLOOKUP(Sacak13[[#This Row],[Ürün Cinsi]],Fiyat[[Ölçü]:[Birim Fiyatı]],2,0))</f>
        <v/>
      </c>
      <c r="H68" s="45" t="str">
        <f>IF(ISBLANK(Sacak13[[#This Row],[Adı Soyadı]]),"",Sacak13[[#This Row],[ADET]]*Sacak13[[#This Row],[BİRİM FİYAT]])</f>
        <v/>
      </c>
      <c r="I68" s="46" t="str">
        <f>IF(ISBLANK(Sacak13[[#This Row],[ADET]]),"",SUMIF(Sacak13[Adı Soyadı],Sacak13[[#This Row],[Adı Soyadı]],Sacak13[TUTAR]))</f>
        <v/>
      </c>
    </row>
    <row r="69" spans="2:9" ht="16.5" thickTop="1" thickBot="1" x14ac:dyDescent="0.3">
      <c r="B69" s="16" t="str">
        <f>IF(ISBLANK(C69),"",SUBTOTAL(3, $C$3:C69))</f>
        <v/>
      </c>
      <c r="C69" s="32"/>
      <c r="D69" s="17"/>
      <c r="E69" s="18"/>
      <c r="F69" s="18"/>
      <c r="G69" s="45" t="str">
        <f>IF(ISBLANK(Sacak13[[#This Row],[Adı Soyadı]]),"",VLOOKUP(Sacak13[[#This Row],[Ürün Cinsi]],Fiyat[[Ölçü]:[Birim Fiyatı]],2,0))</f>
        <v/>
      </c>
      <c r="H69" s="45" t="str">
        <f>IF(ISBLANK(Sacak13[[#This Row],[Adı Soyadı]]),"",Sacak13[[#This Row],[ADET]]*Sacak13[[#This Row],[BİRİM FİYAT]])</f>
        <v/>
      </c>
      <c r="I69" s="46" t="str">
        <f>IF(ISBLANK(Sacak13[[#This Row],[ADET]]),"",SUMIF(Sacak13[Adı Soyadı],Sacak13[[#This Row],[Adı Soyadı]],Sacak13[TUTAR]))</f>
        <v/>
      </c>
    </row>
    <row r="70" spans="2:9" ht="16.5" thickTop="1" thickBot="1" x14ac:dyDescent="0.3">
      <c r="B70" s="16" t="str">
        <f>IF(ISBLANK(C70),"",SUBTOTAL(3, $C$3:C70))</f>
        <v/>
      </c>
      <c r="C70" s="32"/>
      <c r="D70" s="17"/>
      <c r="E70" s="18"/>
      <c r="F70" s="18"/>
      <c r="G70" s="45" t="str">
        <f>IF(ISBLANK(Sacak13[[#This Row],[Adı Soyadı]]),"",VLOOKUP(Sacak13[[#This Row],[Ürün Cinsi]],Fiyat[[Ölçü]:[Birim Fiyatı]],2,0))</f>
        <v/>
      </c>
      <c r="H70" s="45" t="str">
        <f>IF(ISBLANK(Sacak13[[#This Row],[Adı Soyadı]]),"",Sacak13[[#This Row],[ADET]]*Sacak13[[#This Row],[BİRİM FİYAT]])</f>
        <v/>
      </c>
      <c r="I70" s="46" t="str">
        <f>IF(ISBLANK(Sacak13[[#This Row],[ADET]]),"",SUMIF(Sacak13[Adı Soyadı],Sacak13[[#This Row],[Adı Soyadı]],Sacak13[TUTAR]))</f>
        <v/>
      </c>
    </row>
    <row r="71" spans="2:9" ht="16.5" thickTop="1" thickBot="1" x14ac:dyDescent="0.3">
      <c r="B71" s="16" t="str">
        <f>IF(ISBLANK(C71),"",SUBTOTAL(3, $C$3:C71))</f>
        <v/>
      </c>
      <c r="C71" s="32"/>
      <c r="D71" s="17"/>
      <c r="E71" s="18"/>
      <c r="F71" s="18"/>
      <c r="G71" s="45" t="str">
        <f>IF(ISBLANK(Sacak13[[#This Row],[Adı Soyadı]]),"",VLOOKUP(Sacak13[[#This Row],[Ürün Cinsi]],Fiyat[[Ölçü]:[Birim Fiyatı]],2,0))</f>
        <v/>
      </c>
      <c r="H71" s="45" t="str">
        <f>IF(ISBLANK(Sacak13[[#This Row],[Adı Soyadı]]),"",Sacak13[[#This Row],[ADET]]*Sacak13[[#This Row],[BİRİM FİYAT]])</f>
        <v/>
      </c>
      <c r="I71" s="46" t="str">
        <f>IF(ISBLANK(Sacak13[[#This Row],[ADET]]),"",SUMIF(Sacak13[Adı Soyadı],Sacak13[[#This Row],[Adı Soyadı]],Sacak13[TUTAR]))</f>
        <v/>
      </c>
    </row>
    <row r="72" spans="2:9" ht="16.5" thickTop="1" thickBot="1" x14ac:dyDescent="0.3">
      <c r="B72" s="16" t="str">
        <f>IF(ISBLANK(C72),"",SUBTOTAL(3, $C$3:C72))</f>
        <v/>
      </c>
      <c r="C72" s="32"/>
      <c r="D72" s="17"/>
      <c r="E72" s="18"/>
      <c r="F72" s="18"/>
      <c r="G72" s="45" t="str">
        <f>IF(ISBLANK(Sacak13[[#This Row],[Adı Soyadı]]),"",VLOOKUP(Sacak13[[#This Row],[Ürün Cinsi]],Fiyat[[Ölçü]:[Birim Fiyatı]],2,0))</f>
        <v/>
      </c>
      <c r="H72" s="45" t="str">
        <f>IF(ISBLANK(Sacak13[[#This Row],[Adı Soyadı]]),"",Sacak13[[#This Row],[ADET]]*Sacak13[[#This Row],[BİRİM FİYAT]])</f>
        <v/>
      </c>
      <c r="I72" s="46" t="str">
        <f>IF(ISBLANK(Sacak13[[#This Row],[ADET]]),"",SUMIF(Sacak13[Adı Soyadı],Sacak13[[#This Row],[Adı Soyadı]],Sacak13[TUTAR]))</f>
        <v/>
      </c>
    </row>
    <row r="73" spans="2:9" ht="16.5" thickTop="1" thickBot="1" x14ac:dyDescent="0.3">
      <c r="B73" s="16" t="str">
        <f>IF(ISBLANK(C73),"",SUBTOTAL(3, $C$3:C73))</f>
        <v/>
      </c>
      <c r="C73" s="32"/>
      <c r="D73" s="17"/>
      <c r="E73" s="18"/>
      <c r="F73" s="18"/>
      <c r="G73" s="45" t="str">
        <f>IF(ISBLANK(Sacak13[[#This Row],[Adı Soyadı]]),"",VLOOKUP(Sacak13[[#This Row],[Ürün Cinsi]],Fiyat[[Ölçü]:[Birim Fiyatı]],2,0))</f>
        <v/>
      </c>
      <c r="H73" s="45" t="str">
        <f>IF(ISBLANK(Sacak13[[#This Row],[Adı Soyadı]]),"",Sacak13[[#This Row],[ADET]]*Sacak13[[#This Row],[BİRİM FİYAT]])</f>
        <v/>
      </c>
      <c r="I73" s="46" t="str">
        <f>IF(ISBLANK(Sacak13[[#This Row],[ADET]]),"",SUMIF(Sacak13[Adı Soyadı],Sacak13[[#This Row],[Adı Soyadı]],Sacak13[TUTAR]))</f>
        <v/>
      </c>
    </row>
    <row r="74" spans="2:9" ht="16.5" thickTop="1" thickBot="1" x14ac:dyDescent="0.3">
      <c r="B74" s="16" t="str">
        <f>IF(ISBLANK(C74),"",SUBTOTAL(3, $C$3:C74))</f>
        <v/>
      </c>
      <c r="C74" s="32"/>
      <c r="D74" s="17"/>
      <c r="E74" s="18"/>
      <c r="F74" s="18"/>
      <c r="G74" s="45" t="str">
        <f>IF(ISBLANK(Sacak13[[#This Row],[Adı Soyadı]]),"",VLOOKUP(Sacak13[[#This Row],[Ürün Cinsi]],Fiyat[[Ölçü]:[Birim Fiyatı]],2,0))</f>
        <v/>
      </c>
      <c r="H74" s="45" t="str">
        <f>IF(ISBLANK(Sacak13[[#This Row],[Adı Soyadı]]),"",Sacak13[[#This Row],[ADET]]*Sacak13[[#This Row],[BİRİM FİYAT]])</f>
        <v/>
      </c>
      <c r="I74" s="46" t="str">
        <f>IF(ISBLANK(Sacak13[[#This Row],[ADET]]),"",SUMIF(Sacak13[Adı Soyadı],Sacak13[[#This Row],[Adı Soyadı]],Sacak13[TUTAR]))</f>
        <v/>
      </c>
    </row>
    <row r="75" spans="2:9" ht="16.5" thickTop="1" thickBot="1" x14ac:dyDescent="0.3">
      <c r="B75" s="16" t="str">
        <f>IF(ISBLANK(C75),"",SUBTOTAL(3, $C$3:C75))</f>
        <v/>
      </c>
      <c r="C75" s="32"/>
      <c r="D75" s="17"/>
      <c r="E75" s="18"/>
      <c r="F75" s="18"/>
      <c r="G75" s="45" t="str">
        <f>IF(ISBLANK(Sacak13[[#This Row],[Adı Soyadı]]),"",VLOOKUP(Sacak13[[#This Row],[Ürün Cinsi]],Fiyat[[Ölçü]:[Birim Fiyatı]],2,0))</f>
        <v/>
      </c>
      <c r="H75" s="45" t="str">
        <f>IF(ISBLANK(Sacak13[[#This Row],[Adı Soyadı]]),"",Sacak13[[#This Row],[ADET]]*Sacak13[[#This Row],[BİRİM FİYAT]])</f>
        <v/>
      </c>
      <c r="I75" s="46" t="str">
        <f>IF(ISBLANK(Sacak13[[#This Row],[ADET]]),"",SUMIF(Sacak13[Adı Soyadı],Sacak13[[#This Row],[Adı Soyadı]],Sacak13[TUTAR]))</f>
        <v/>
      </c>
    </row>
    <row r="76" spans="2:9" ht="16.5" thickTop="1" thickBot="1" x14ac:dyDescent="0.3">
      <c r="B76" s="16" t="str">
        <f>IF(ISBLANK(C76),"",SUBTOTAL(3, $C$3:C76))</f>
        <v/>
      </c>
      <c r="C76" s="32"/>
      <c r="D76" s="17"/>
      <c r="E76" s="18"/>
      <c r="F76" s="18"/>
      <c r="G76" s="45" t="str">
        <f>IF(ISBLANK(Sacak13[[#This Row],[Adı Soyadı]]),"",VLOOKUP(Sacak13[[#This Row],[Ürün Cinsi]],Fiyat[[Ölçü]:[Birim Fiyatı]],2,0))</f>
        <v/>
      </c>
      <c r="H76" s="45" t="str">
        <f>IF(ISBLANK(Sacak13[[#This Row],[Adı Soyadı]]),"",Sacak13[[#This Row],[ADET]]*Sacak13[[#This Row],[BİRİM FİYAT]])</f>
        <v/>
      </c>
      <c r="I76" s="46" t="str">
        <f>IF(ISBLANK(Sacak13[[#This Row],[ADET]]),"",SUMIF(Sacak13[Adı Soyadı],Sacak13[[#This Row],[Adı Soyadı]],Sacak13[TUTAR]))</f>
        <v/>
      </c>
    </row>
    <row r="77" spans="2:9" ht="16.5" thickTop="1" thickBot="1" x14ac:dyDescent="0.3">
      <c r="B77" s="16" t="str">
        <f>IF(ISBLANK(C77),"",SUBTOTAL(3, $C$3:C77))</f>
        <v/>
      </c>
      <c r="C77" s="32"/>
      <c r="D77" s="17"/>
      <c r="E77" s="18"/>
      <c r="F77" s="18"/>
      <c r="G77" s="45" t="str">
        <f>IF(ISBLANK(Sacak13[[#This Row],[Adı Soyadı]]),"",VLOOKUP(Sacak13[[#This Row],[Ürün Cinsi]],Fiyat[[Ölçü]:[Birim Fiyatı]],2,0))</f>
        <v/>
      </c>
      <c r="H77" s="45" t="str">
        <f>IF(ISBLANK(Sacak13[[#This Row],[Adı Soyadı]]),"",Sacak13[[#This Row],[ADET]]*Sacak13[[#This Row],[BİRİM FİYAT]])</f>
        <v/>
      </c>
      <c r="I77" s="46" t="str">
        <f>IF(ISBLANK(Sacak13[[#This Row],[ADET]]),"",SUMIF(Sacak13[Adı Soyadı],Sacak13[[#This Row],[Adı Soyadı]],Sacak13[TUTAR]))</f>
        <v/>
      </c>
    </row>
    <row r="78" spans="2:9" ht="16.5" thickTop="1" thickBot="1" x14ac:dyDescent="0.3">
      <c r="B78" s="16" t="str">
        <f>IF(ISBLANK(C78),"",SUBTOTAL(3, $C$3:C78))</f>
        <v/>
      </c>
      <c r="C78" s="32"/>
      <c r="D78" s="17"/>
      <c r="E78" s="18"/>
      <c r="F78" s="18"/>
      <c r="G78" s="45" t="str">
        <f>IF(ISBLANK(Sacak13[[#This Row],[Adı Soyadı]]),"",VLOOKUP(Sacak13[[#This Row],[Ürün Cinsi]],Fiyat[[Ölçü]:[Birim Fiyatı]],2,0))</f>
        <v/>
      </c>
      <c r="H78" s="45" t="str">
        <f>IF(ISBLANK(Sacak13[[#This Row],[Adı Soyadı]]),"",Sacak13[[#This Row],[ADET]]*Sacak13[[#This Row],[BİRİM FİYAT]])</f>
        <v/>
      </c>
      <c r="I78" s="46" t="str">
        <f>IF(ISBLANK(Sacak13[[#This Row],[ADET]]),"",SUMIF(Sacak13[Adı Soyadı],Sacak13[[#This Row],[Adı Soyadı]],Sacak13[TUTAR]))</f>
        <v/>
      </c>
    </row>
    <row r="79" spans="2:9" ht="16.5" thickTop="1" thickBot="1" x14ac:dyDescent="0.3">
      <c r="B79" s="16" t="str">
        <f>IF(ISBLANK(C79),"",SUBTOTAL(3, $C$3:C79))</f>
        <v/>
      </c>
      <c r="C79" s="32"/>
      <c r="D79" s="17"/>
      <c r="E79" s="18"/>
      <c r="F79" s="18"/>
      <c r="G79" s="45" t="str">
        <f>IF(ISBLANK(Sacak13[[#This Row],[Adı Soyadı]]),"",VLOOKUP(Sacak13[[#This Row],[Ürün Cinsi]],Fiyat[[Ölçü]:[Birim Fiyatı]],2,0))</f>
        <v/>
      </c>
      <c r="H79" s="45" t="str">
        <f>IF(ISBLANK(Sacak13[[#This Row],[Adı Soyadı]]),"",Sacak13[[#This Row],[ADET]]*Sacak13[[#This Row],[BİRİM FİYAT]])</f>
        <v/>
      </c>
      <c r="I79" s="46" t="str">
        <f>IF(ISBLANK(Sacak13[[#This Row],[ADET]]),"",SUMIF(Sacak13[Adı Soyadı],Sacak13[[#This Row],[Adı Soyadı]],Sacak13[TUTAR]))</f>
        <v/>
      </c>
    </row>
    <row r="80" spans="2:9" ht="16.5" thickTop="1" thickBot="1" x14ac:dyDescent="0.3">
      <c r="B80" s="16" t="str">
        <f>IF(ISBLANK(C80),"",SUBTOTAL(3, $C$3:C80))</f>
        <v/>
      </c>
      <c r="C80" s="32"/>
      <c r="D80" s="17"/>
      <c r="E80" s="18"/>
      <c r="F80" s="18"/>
      <c r="G80" s="45" t="str">
        <f>IF(ISBLANK(Sacak13[[#This Row],[Adı Soyadı]]),"",VLOOKUP(Sacak13[[#This Row],[Ürün Cinsi]],Fiyat[[Ölçü]:[Birim Fiyatı]],2,0))</f>
        <v/>
      </c>
      <c r="H80" s="45" t="str">
        <f>IF(ISBLANK(Sacak13[[#This Row],[Adı Soyadı]]),"",Sacak13[[#This Row],[ADET]]*Sacak13[[#This Row],[BİRİM FİYAT]])</f>
        <v/>
      </c>
      <c r="I80" s="46" t="str">
        <f>IF(ISBLANK(Sacak13[[#This Row],[ADET]]),"",SUMIF(Sacak13[Adı Soyadı],Sacak13[[#This Row],[Adı Soyadı]],Sacak13[TUTAR]))</f>
        <v/>
      </c>
    </row>
    <row r="81" spans="2:9" ht="16.5" thickTop="1" thickBot="1" x14ac:dyDescent="0.3">
      <c r="B81" s="16" t="str">
        <f>IF(ISBLANK(C81),"",SUBTOTAL(3, $C$3:C81))</f>
        <v/>
      </c>
      <c r="C81" s="32"/>
      <c r="D81" s="17"/>
      <c r="E81" s="18"/>
      <c r="F81" s="18"/>
      <c r="G81" s="45" t="str">
        <f>IF(ISBLANK(Sacak13[[#This Row],[Adı Soyadı]]),"",VLOOKUP(Sacak13[[#This Row],[Ürün Cinsi]],Fiyat[[Ölçü]:[Birim Fiyatı]],2,0))</f>
        <v/>
      </c>
      <c r="H81" s="45" t="str">
        <f>IF(ISBLANK(Sacak13[[#This Row],[Adı Soyadı]]),"",Sacak13[[#This Row],[ADET]]*Sacak13[[#This Row],[BİRİM FİYAT]])</f>
        <v/>
      </c>
      <c r="I81" s="46" t="str">
        <f>IF(ISBLANK(Sacak13[[#This Row],[ADET]]),"",SUMIF(Sacak13[Adı Soyadı],Sacak13[[#This Row],[Adı Soyadı]],Sacak13[TUTAR]))</f>
        <v/>
      </c>
    </row>
    <row r="82" spans="2:9" ht="16.5" thickTop="1" thickBot="1" x14ac:dyDescent="0.3">
      <c r="B82" s="16" t="str">
        <f>IF(ISBLANK(C82),"",SUBTOTAL(3, $C$3:C82))</f>
        <v/>
      </c>
      <c r="C82" s="32"/>
      <c r="D82" s="17"/>
      <c r="E82" s="18"/>
      <c r="F82" s="18"/>
      <c r="G82" s="45" t="str">
        <f>IF(ISBLANK(Sacak13[[#This Row],[Adı Soyadı]]),"",VLOOKUP(Sacak13[[#This Row],[Ürün Cinsi]],Fiyat[[Ölçü]:[Birim Fiyatı]],2,0))</f>
        <v/>
      </c>
      <c r="H82" s="45" t="str">
        <f>IF(ISBLANK(Sacak13[[#This Row],[Adı Soyadı]]),"",Sacak13[[#This Row],[ADET]]*Sacak13[[#This Row],[BİRİM FİYAT]])</f>
        <v/>
      </c>
      <c r="I82" s="46" t="str">
        <f>IF(ISBLANK(Sacak13[[#This Row],[ADET]]),"",SUMIF(Sacak13[Adı Soyadı],Sacak13[[#This Row],[Adı Soyadı]],Sacak13[TUTAR]))</f>
        <v/>
      </c>
    </row>
    <row r="83" spans="2:9" ht="16.5" thickTop="1" thickBot="1" x14ac:dyDescent="0.3">
      <c r="B83" s="16" t="str">
        <f>IF(ISBLANK(C83),"",SUBTOTAL(3, $C$3:C83))</f>
        <v/>
      </c>
      <c r="C83" s="32"/>
      <c r="D83" s="17"/>
      <c r="E83" s="18"/>
      <c r="F83" s="18"/>
      <c r="G83" s="45" t="str">
        <f>IF(ISBLANK(Sacak13[[#This Row],[Adı Soyadı]]),"",VLOOKUP(Sacak13[[#This Row],[Ürün Cinsi]],Fiyat[[Ölçü]:[Birim Fiyatı]],2,0))</f>
        <v/>
      </c>
      <c r="H83" s="45" t="str">
        <f>IF(ISBLANK(Sacak13[[#This Row],[Adı Soyadı]]),"",Sacak13[[#This Row],[ADET]]*Sacak13[[#This Row],[BİRİM FİYAT]])</f>
        <v/>
      </c>
      <c r="I83" s="46" t="str">
        <f>IF(ISBLANK(Sacak13[[#This Row],[ADET]]),"",SUMIF(Sacak13[Adı Soyadı],Sacak13[[#This Row],[Adı Soyadı]],Sacak13[TUTAR]))</f>
        <v/>
      </c>
    </row>
    <row r="84" spans="2:9" ht="16.5" thickTop="1" thickBot="1" x14ac:dyDescent="0.3">
      <c r="B84" s="16" t="str">
        <f>IF(ISBLANK(C84),"",SUBTOTAL(3, $C$3:C84))</f>
        <v/>
      </c>
      <c r="C84" s="32"/>
      <c r="D84" s="17"/>
      <c r="E84" s="18"/>
      <c r="F84" s="18"/>
      <c r="G84" s="45" t="str">
        <f>IF(ISBLANK(Sacak13[[#This Row],[Adı Soyadı]]),"",VLOOKUP(Sacak13[[#This Row],[Ürün Cinsi]],Fiyat[[Ölçü]:[Birim Fiyatı]],2,0))</f>
        <v/>
      </c>
      <c r="H84" s="45" t="str">
        <f>IF(ISBLANK(Sacak13[[#This Row],[Adı Soyadı]]),"",Sacak13[[#This Row],[ADET]]*Sacak13[[#This Row],[BİRİM FİYAT]])</f>
        <v/>
      </c>
      <c r="I84" s="46" t="str">
        <f>IF(ISBLANK(Sacak13[[#This Row],[ADET]]),"",SUMIF(Sacak13[Adı Soyadı],Sacak13[[#This Row],[Adı Soyadı]],Sacak13[TUTAR]))</f>
        <v/>
      </c>
    </row>
    <row r="85" spans="2:9" ht="16.5" thickTop="1" thickBot="1" x14ac:dyDescent="0.3">
      <c r="B85" s="16" t="str">
        <f>IF(ISBLANK(C85),"",SUBTOTAL(3, $C$3:C85))</f>
        <v/>
      </c>
      <c r="C85" s="32"/>
      <c r="D85" s="17"/>
      <c r="E85" s="18"/>
      <c r="F85" s="18"/>
      <c r="G85" s="45" t="str">
        <f>IF(ISBLANK(Sacak13[[#This Row],[Adı Soyadı]]),"",VLOOKUP(Sacak13[[#This Row],[Ürün Cinsi]],Fiyat[[Ölçü]:[Birim Fiyatı]],2,0))</f>
        <v/>
      </c>
      <c r="H85" s="45" t="str">
        <f>IF(ISBLANK(Sacak13[[#This Row],[Adı Soyadı]]),"",Sacak13[[#This Row],[ADET]]*Sacak13[[#This Row],[BİRİM FİYAT]])</f>
        <v/>
      </c>
      <c r="I85" s="46" t="str">
        <f>IF(ISBLANK(Sacak13[[#This Row],[ADET]]),"",SUMIF(Sacak13[Adı Soyadı],Sacak13[[#This Row],[Adı Soyadı]],Sacak13[TUTAR]))</f>
        <v/>
      </c>
    </row>
    <row r="86" spans="2:9" ht="16.5" thickTop="1" thickBot="1" x14ac:dyDescent="0.3">
      <c r="B86" s="16" t="str">
        <f>IF(ISBLANK(C86),"",SUBTOTAL(3, $C$3:C86))</f>
        <v/>
      </c>
      <c r="C86" s="32"/>
      <c r="D86" s="17"/>
      <c r="E86" s="18"/>
      <c r="F86" s="18"/>
      <c r="G86" s="45" t="str">
        <f>IF(ISBLANK(Sacak13[[#This Row],[Adı Soyadı]]),"",VLOOKUP(Sacak13[[#This Row],[Ürün Cinsi]],Fiyat[[Ölçü]:[Birim Fiyatı]],2,0))</f>
        <v/>
      </c>
      <c r="H86" s="45" t="str">
        <f>IF(ISBLANK(Sacak13[[#This Row],[Adı Soyadı]]),"",Sacak13[[#This Row],[ADET]]*Sacak13[[#This Row],[BİRİM FİYAT]])</f>
        <v/>
      </c>
      <c r="I86" s="46" t="str">
        <f>IF(ISBLANK(Sacak13[[#This Row],[ADET]]),"",SUMIF(Sacak13[Adı Soyadı],Sacak13[[#This Row],[Adı Soyadı]],Sacak13[TUTAR]))</f>
        <v/>
      </c>
    </row>
    <row r="87" spans="2:9" ht="16.5" thickTop="1" thickBot="1" x14ac:dyDescent="0.3">
      <c r="B87" s="16" t="str">
        <f>IF(ISBLANK(C87),"",SUBTOTAL(3, $C$3:C87))</f>
        <v/>
      </c>
      <c r="C87" s="32"/>
      <c r="D87" s="17"/>
      <c r="E87" s="18"/>
      <c r="F87" s="18"/>
      <c r="G87" s="45" t="str">
        <f>IF(ISBLANK(Sacak13[[#This Row],[Adı Soyadı]]),"",VLOOKUP(Sacak13[[#This Row],[Ürün Cinsi]],Fiyat[[Ölçü]:[Birim Fiyatı]],2,0))</f>
        <v/>
      </c>
      <c r="H87" s="45" t="str">
        <f>IF(ISBLANK(Sacak13[[#This Row],[Adı Soyadı]]),"",Sacak13[[#This Row],[ADET]]*Sacak13[[#This Row],[BİRİM FİYAT]])</f>
        <v/>
      </c>
      <c r="I87" s="46" t="str">
        <f>IF(ISBLANK(Sacak13[[#This Row],[ADET]]),"",SUMIF(Sacak13[Adı Soyadı],Sacak13[[#This Row],[Adı Soyadı]],Sacak13[TUTAR]))</f>
        <v/>
      </c>
    </row>
    <row r="88" spans="2:9" ht="16.5" thickTop="1" thickBot="1" x14ac:dyDescent="0.3">
      <c r="B88" s="16" t="str">
        <f>IF(ISBLANK(C88),"",SUBTOTAL(3, $C$3:C88))</f>
        <v/>
      </c>
      <c r="C88" s="32"/>
      <c r="D88" s="17"/>
      <c r="E88" s="18"/>
      <c r="F88" s="18"/>
      <c r="G88" s="45" t="str">
        <f>IF(ISBLANK(Sacak13[[#This Row],[Adı Soyadı]]),"",VLOOKUP(Sacak13[[#This Row],[Ürün Cinsi]],Fiyat[[Ölçü]:[Birim Fiyatı]],2,0))</f>
        <v/>
      </c>
      <c r="H88" s="45" t="str">
        <f>IF(ISBLANK(Sacak13[[#This Row],[Adı Soyadı]]),"",Sacak13[[#This Row],[ADET]]*Sacak13[[#This Row],[BİRİM FİYAT]])</f>
        <v/>
      </c>
      <c r="I88" s="46" t="str">
        <f>IF(ISBLANK(Sacak13[[#This Row],[ADET]]),"",SUMIF(Sacak13[Adı Soyadı],Sacak13[[#This Row],[Adı Soyadı]],Sacak13[TUTAR]))</f>
        <v/>
      </c>
    </row>
    <row r="89" spans="2:9" ht="16.5" thickTop="1" thickBot="1" x14ac:dyDescent="0.3">
      <c r="B89" s="16" t="str">
        <f>IF(ISBLANK(C89),"",SUBTOTAL(3, $C$3:C89))</f>
        <v/>
      </c>
      <c r="C89" s="32"/>
      <c r="D89" s="17"/>
      <c r="E89" s="18"/>
      <c r="F89" s="18"/>
      <c r="G89" s="45" t="str">
        <f>IF(ISBLANK(Sacak13[[#This Row],[Adı Soyadı]]),"",VLOOKUP(Sacak13[[#This Row],[Ürün Cinsi]],Fiyat[[Ölçü]:[Birim Fiyatı]],2,0))</f>
        <v/>
      </c>
      <c r="H89" s="45" t="str">
        <f>IF(ISBLANK(Sacak13[[#This Row],[Adı Soyadı]]),"",Sacak13[[#This Row],[ADET]]*Sacak13[[#This Row],[BİRİM FİYAT]])</f>
        <v/>
      </c>
      <c r="I89" s="46" t="str">
        <f>IF(ISBLANK(Sacak13[[#This Row],[ADET]]),"",SUMIF(Sacak13[Adı Soyadı],Sacak13[[#This Row],[Adı Soyadı]],Sacak13[TUTAR]))</f>
        <v/>
      </c>
    </row>
    <row r="90" spans="2:9" ht="16.5" thickTop="1" thickBot="1" x14ac:dyDescent="0.3">
      <c r="B90" s="16" t="str">
        <f>IF(ISBLANK(C90),"",SUBTOTAL(3, $C$3:C90))</f>
        <v/>
      </c>
      <c r="C90" s="32"/>
      <c r="D90" s="17"/>
      <c r="E90" s="18"/>
      <c r="F90" s="18"/>
      <c r="G90" s="45" t="str">
        <f>IF(ISBLANK(Sacak13[[#This Row],[Adı Soyadı]]),"",VLOOKUP(Sacak13[[#This Row],[Ürün Cinsi]],Fiyat[[Ölçü]:[Birim Fiyatı]],2,0))</f>
        <v/>
      </c>
      <c r="H90" s="45" t="str">
        <f>IF(ISBLANK(Sacak13[[#This Row],[Adı Soyadı]]),"",Sacak13[[#This Row],[ADET]]*Sacak13[[#This Row],[BİRİM FİYAT]])</f>
        <v/>
      </c>
      <c r="I90" s="46" t="str">
        <f>IF(ISBLANK(Sacak13[[#This Row],[ADET]]),"",SUMIF(Sacak13[Adı Soyadı],Sacak13[[#This Row],[Adı Soyadı]],Sacak13[TUTAR]))</f>
        <v/>
      </c>
    </row>
    <row r="91" spans="2:9" ht="16.5" thickTop="1" thickBot="1" x14ac:dyDescent="0.3">
      <c r="B91" s="11" t="str">
        <f>IF(ISBLANK(C91),"",SUBTOTAL(3, $C$3:C91))</f>
        <v/>
      </c>
      <c r="C91" s="33"/>
      <c r="D91" s="12"/>
      <c r="E91" s="13"/>
      <c r="F91" s="13"/>
      <c r="G91" s="45" t="str">
        <f>IF(ISBLANK(Sacak13[[#This Row],[Adı Soyadı]]),"",VLOOKUP(Sacak13[[#This Row],[Ürün Cinsi]],Fiyat[[Ölçü]:[Birim Fiyatı]],2,0))</f>
        <v/>
      </c>
      <c r="H91" s="48" t="str">
        <f>IF(ISBLANK(Sacak13[[#This Row],[Adı Soyadı]]),"",Sacak13[[#This Row],[ADET]]*Sacak13[[#This Row],[BİRİM FİYAT]])</f>
        <v/>
      </c>
      <c r="I91" s="14" t="str">
        <f>IF(ISBLANK(Sacak13[[#This Row],[ADET]]),"",SUMIF(Sacak13[Adı Soyadı],Sacak13[[#This Row],[Adı Soyadı]],Sacak13[TUTAR]))</f>
        <v/>
      </c>
    </row>
    <row r="92" spans="2:9" ht="16.5" thickTop="1" thickBot="1" x14ac:dyDescent="0.3">
      <c r="B92" s="1" t="str">
        <f>IF(ISBLANK(C92),"",SUBTOTAL(3, $C$3:C92))</f>
        <v/>
      </c>
      <c r="C92" s="34"/>
      <c r="D92" s="6"/>
      <c r="E92" s="7"/>
      <c r="F92" s="7"/>
      <c r="G92" s="45" t="str">
        <f>IF(ISBLANK(Sacak13[[#This Row],[Adı Soyadı]]),"",VLOOKUP(Sacak13[[#This Row],[Ürün Cinsi]],Fiyat[[Ölçü]:[Birim Fiyatı]],2,0))</f>
        <v/>
      </c>
      <c r="H92" s="49" t="str">
        <f>IF(ISBLANK(Sacak13[[#This Row],[Adı Soyadı]]),"",Sacak13[[#This Row],[ADET]]*Sacak13[[#This Row],[BİRİM FİYAT]])</f>
        <v/>
      </c>
      <c r="I92" s="2" t="str">
        <f>IF(ISBLANK(Sacak13[[#This Row],[ADET]]),"",SUMIF(Sacak13[Adı Soyadı],Sacak13[[#This Row],[Adı Soyadı]],Sacak13[TUTAR]))</f>
        <v/>
      </c>
    </row>
    <row r="93" spans="2:9" ht="16.5" thickTop="1" thickBot="1" x14ac:dyDescent="0.3">
      <c r="B93" s="1" t="str">
        <f>IF(ISBLANK(C93),"",SUBTOTAL(3, $C$3:C93))</f>
        <v/>
      </c>
      <c r="C93" s="34"/>
      <c r="D93" s="6"/>
      <c r="E93" s="7"/>
      <c r="F93" s="7"/>
      <c r="G93" s="45" t="str">
        <f>IF(ISBLANK(Sacak13[[#This Row],[Adı Soyadı]]),"",VLOOKUP(Sacak13[[#This Row],[Ürün Cinsi]],Fiyat[[Ölçü]:[Birim Fiyatı]],2,0))</f>
        <v/>
      </c>
      <c r="H93" s="49" t="str">
        <f>IF(ISBLANK(Sacak13[[#This Row],[Adı Soyadı]]),"",Sacak13[[#This Row],[ADET]]*Sacak13[[#This Row],[BİRİM FİYAT]])</f>
        <v/>
      </c>
      <c r="I93" s="2" t="str">
        <f>IF(ISBLANK(Sacak13[[#This Row],[ADET]]),"",SUMIF(Sacak13[Adı Soyadı],Sacak13[[#This Row],[Adı Soyadı]],Sacak13[TUTAR]))</f>
        <v/>
      </c>
    </row>
    <row r="94" spans="2:9" ht="16.5" thickTop="1" thickBot="1" x14ac:dyDescent="0.3">
      <c r="B94" s="1" t="str">
        <f>IF(ISBLANK(C94),"",SUBTOTAL(3, $C$3:C94))</f>
        <v/>
      </c>
      <c r="C94" s="34"/>
      <c r="D94" s="6"/>
      <c r="E94" s="7"/>
      <c r="F94" s="7"/>
      <c r="G94" s="45" t="str">
        <f>IF(ISBLANK(Sacak13[[#This Row],[Adı Soyadı]]),"",VLOOKUP(Sacak13[[#This Row],[Ürün Cinsi]],Fiyat[[Ölçü]:[Birim Fiyatı]],2,0))</f>
        <v/>
      </c>
      <c r="H94" s="49" t="str">
        <f>IF(ISBLANK(Sacak13[[#This Row],[Adı Soyadı]]),"",Sacak13[[#This Row],[ADET]]*Sacak13[[#This Row],[BİRİM FİYAT]])</f>
        <v/>
      </c>
      <c r="I94" s="2" t="str">
        <f>IF(ISBLANK(Sacak13[[#This Row],[ADET]]),"",SUMIF(Sacak13[Adı Soyadı],Sacak13[[#This Row],[Adı Soyadı]],Sacak13[TUTAR]))</f>
        <v/>
      </c>
    </row>
    <row r="95" spans="2:9" ht="16.5" thickTop="1" thickBot="1" x14ac:dyDescent="0.3">
      <c r="B95" s="1" t="str">
        <f>IF(ISBLANK(C95),"",SUBTOTAL(3, $C$3:C95))</f>
        <v/>
      </c>
      <c r="C95" s="34"/>
      <c r="D95" s="6"/>
      <c r="E95" s="7"/>
      <c r="F95" s="7"/>
      <c r="G95" s="45" t="str">
        <f>IF(ISBLANK(Sacak13[[#This Row],[Adı Soyadı]]),"",VLOOKUP(Sacak13[[#This Row],[Ürün Cinsi]],Fiyat[[Ölçü]:[Birim Fiyatı]],2,0))</f>
        <v/>
      </c>
      <c r="H95" s="49" t="str">
        <f>IF(ISBLANK(Sacak13[[#This Row],[Adı Soyadı]]),"",Sacak13[[#This Row],[ADET]]*Sacak13[[#This Row],[BİRİM FİYAT]])</f>
        <v/>
      </c>
      <c r="I95" s="2" t="str">
        <f>IF(ISBLANK(Sacak13[[#This Row],[ADET]]),"",SUMIF(Sacak13[Adı Soyadı],Sacak13[[#This Row],[Adı Soyadı]],Sacak13[TUTAR]))</f>
        <v/>
      </c>
    </row>
    <row r="96" spans="2:9" ht="16.5" thickTop="1" thickBot="1" x14ac:dyDescent="0.3">
      <c r="B96" s="1" t="str">
        <f>IF(ISBLANK(C96),"",SUBTOTAL(3, $C$3:C96))</f>
        <v/>
      </c>
      <c r="C96" s="34"/>
      <c r="D96" s="6"/>
      <c r="E96" s="7"/>
      <c r="F96" s="7"/>
      <c r="G96" s="45" t="str">
        <f>IF(ISBLANK(Sacak13[[#This Row],[Adı Soyadı]]),"",VLOOKUP(Sacak13[[#This Row],[Ürün Cinsi]],Fiyat[[Ölçü]:[Birim Fiyatı]],2,0))</f>
        <v/>
      </c>
      <c r="H96" s="49" t="str">
        <f>IF(ISBLANK(Sacak13[[#This Row],[Adı Soyadı]]),"",Sacak13[[#This Row],[ADET]]*Sacak13[[#This Row],[BİRİM FİYAT]])</f>
        <v/>
      </c>
      <c r="I96" s="2" t="str">
        <f>IF(ISBLANK(Sacak13[[#This Row],[ADET]]),"",SUMIF(Sacak13[Adı Soyadı],Sacak13[[#This Row],[Adı Soyadı]],Sacak13[TUTAR]))</f>
        <v/>
      </c>
    </row>
    <row r="97" spans="2:9" ht="16.5" thickTop="1" thickBot="1" x14ac:dyDescent="0.3">
      <c r="B97" s="1" t="str">
        <f>IF(ISBLANK(C97),"",SUBTOTAL(3, $C$3:C97))</f>
        <v/>
      </c>
      <c r="C97" s="34"/>
      <c r="D97" s="6"/>
      <c r="E97" s="7"/>
      <c r="F97" s="7"/>
      <c r="G97" s="45" t="str">
        <f>IF(ISBLANK(Sacak13[[#This Row],[Adı Soyadı]]),"",VLOOKUP(Sacak13[[#This Row],[Ürün Cinsi]],Fiyat[[Ölçü]:[Birim Fiyatı]],2,0))</f>
        <v/>
      </c>
      <c r="H97" s="49" t="str">
        <f>IF(ISBLANK(Sacak13[[#This Row],[Adı Soyadı]]),"",Sacak13[[#This Row],[ADET]]*Sacak13[[#This Row],[BİRİM FİYAT]])</f>
        <v/>
      </c>
      <c r="I97" s="2" t="str">
        <f>IF(ISBLANK(Sacak13[[#This Row],[ADET]]),"",SUMIF(Sacak13[Adı Soyadı],Sacak13[[#This Row],[Adı Soyadı]],Sacak13[TUTAR]))</f>
        <v/>
      </c>
    </row>
    <row r="98" spans="2:9" ht="16.5" thickTop="1" thickBot="1" x14ac:dyDescent="0.3">
      <c r="B98" s="1" t="str">
        <f>IF(ISBLANK(C98),"",SUBTOTAL(3, $C$3:C98))</f>
        <v/>
      </c>
      <c r="C98" s="34"/>
      <c r="D98" s="6"/>
      <c r="E98" s="7"/>
      <c r="F98" s="7"/>
      <c r="G98" s="45" t="str">
        <f>IF(ISBLANK(Sacak13[[#This Row],[Adı Soyadı]]),"",VLOOKUP(Sacak13[[#This Row],[Ürün Cinsi]],Fiyat[[Ölçü]:[Birim Fiyatı]],2,0))</f>
        <v/>
      </c>
      <c r="H98" s="49" t="str">
        <f>IF(ISBLANK(Sacak13[[#This Row],[Adı Soyadı]]),"",Sacak13[[#This Row],[ADET]]*Sacak13[[#This Row],[BİRİM FİYAT]])</f>
        <v/>
      </c>
      <c r="I98" s="2" t="str">
        <f>IF(ISBLANK(Sacak13[[#This Row],[ADET]]),"",SUMIF(Sacak13[Adı Soyadı],Sacak13[[#This Row],[Adı Soyadı]],Sacak13[TUTAR]))</f>
        <v/>
      </c>
    </row>
    <row r="99" spans="2:9" ht="16.5" thickTop="1" thickBot="1" x14ac:dyDescent="0.3">
      <c r="B99" s="1" t="str">
        <f>IF(ISBLANK(C99),"",SUBTOTAL(3, $C$3:C99))</f>
        <v/>
      </c>
      <c r="C99" s="34"/>
      <c r="D99" s="6"/>
      <c r="E99" s="7"/>
      <c r="F99" s="7"/>
      <c r="G99" s="45" t="str">
        <f>IF(ISBLANK(Sacak13[[#This Row],[Adı Soyadı]]),"",VLOOKUP(Sacak13[[#This Row],[Ürün Cinsi]],Fiyat[[Ölçü]:[Birim Fiyatı]],2,0))</f>
        <v/>
      </c>
      <c r="H99" s="49" t="str">
        <f>IF(ISBLANK(Sacak13[[#This Row],[Adı Soyadı]]),"",Sacak13[[#This Row],[ADET]]*Sacak13[[#This Row],[BİRİM FİYAT]])</f>
        <v/>
      </c>
      <c r="I99" s="2" t="str">
        <f>IF(ISBLANK(Sacak13[[#This Row],[ADET]]),"",SUMIF(Sacak13[Adı Soyadı],Sacak13[[#This Row],[Adı Soyadı]],Sacak13[TUTAR]))</f>
        <v/>
      </c>
    </row>
    <row r="100" spans="2:9" ht="16.5" thickTop="1" thickBot="1" x14ac:dyDescent="0.3">
      <c r="B100" s="1" t="str">
        <f>IF(ISBLANK(C100),"",SUBTOTAL(3, $C$3:C100))</f>
        <v/>
      </c>
      <c r="C100" s="34"/>
      <c r="D100" s="6"/>
      <c r="E100" s="7"/>
      <c r="F100" s="7"/>
      <c r="G100" s="45" t="str">
        <f>IF(ISBLANK(Sacak13[[#This Row],[Adı Soyadı]]),"",VLOOKUP(Sacak13[[#This Row],[Ürün Cinsi]],Fiyat[[Ölçü]:[Birim Fiyatı]],2,0))</f>
        <v/>
      </c>
      <c r="H100" s="49" t="str">
        <f>IF(ISBLANK(Sacak13[[#This Row],[Adı Soyadı]]),"",Sacak13[[#This Row],[ADET]]*Sacak13[[#This Row],[BİRİM FİYAT]])</f>
        <v/>
      </c>
      <c r="I100" s="2" t="str">
        <f>IF(ISBLANK(Sacak13[[#This Row],[ADET]]),"",SUMIF(Sacak13[Adı Soyadı],Sacak13[[#This Row],[Adı Soyadı]],Sacak13[TUTAR]))</f>
        <v/>
      </c>
    </row>
    <row r="101" spans="2:9" ht="16.5" thickTop="1" thickBot="1" x14ac:dyDescent="0.3">
      <c r="B101" s="1" t="str">
        <f>IF(ISBLANK(C101),"",SUBTOTAL(3, $C$3:C101))</f>
        <v/>
      </c>
      <c r="C101" s="34"/>
      <c r="D101" s="6"/>
      <c r="E101" s="7"/>
      <c r="F101" s="7"/>
      <c r="G101" s="45" t="str">
        <f>IF(ISBLANK(Sacak13[[#This Row],[Adı Soyadı]]),"",VLOOKUP(Sacak13[[#This Row],[Ürün Cinsi]],Fiyat[[Ölçü]:[Birim Fiyatı]],2,0))</f>
        <v/>
      </c>
      <c r="H101" s="49" t="str">
        <f>IF(ISBLANK(Sacak13[[#This Row],[Adı Soyadı]]),"",Sacak13[[#This Row],[ADET]]*Sacak13[[#This Row],[BİRİM FİYAT]])</f>
        <v/>
      </c>
      <c r="I101" s="2" t="str">
        <f>IF(ISBLANK(Sacak13[[#This Row],[ADET]]),"",SUMIF(Sacak13[Adı Soyadı],Sacak13[[#This Row],[Adı Soyadı]],Sacak13[TUTAR]))</f>
        <v/>
      </c>
    </row>
    <row r="102" spans="2:9" ht="16.5" thickTop="1" thickBot="1" x14ac:dyDescent="0.3">
      <c r="B102" s="1" t="str">
        <f>IF(ISBLANK(C102),"",SUBTOTAL(3, $C$3:C102))</f>
        <v/>
      </c>
      <c r="C102" s="34"/>
      <c r="D102" s="6"/>
      <c r="E102" s="7"/>
      <c r="F102" s="7"/>
      <c r="G102" s="45" t="str">
        <f>IF(ISBLANK(Sacak13[[#This Row],[Adı Soyadı]]),"",VLOOKUP(Sacak13[[#This Row],[Ürün Cinsi]],Fiyat[[Ölçü]:[Birim Fiyatı]],2,0))</f>
        <v/>
      </c>
      <c r="H102" s="49" t="str">
        <f>IF(ISBLANK(Sacak13[[#This Row],[Adı Soyadı]]),"",Sacak13[[#This Row],[ADET]]*Sacak13[[#This Row],[BİRİM FİYAT]])</f>
        <v/>
      </c>
      <c r="I102" s="2" t="str">
        <f>IF(ISBLANK(Sacak13[[#This Row],[ADET]]),"",SUMIF(Sacak13[Adı Soyadı],Sacak13[[#This Row],[Adı Soyadı]],Sacak13[TUTAR]))</f>
        <v/>
      </c>
    </row>
    <row r="103" spans="2:9" ht="16.5" thickTop="1" thickBot="1" x14ac:dyDescent="0.3">
      <c r="B103" s="1" t="str">
        <f>IF(ISBLANK(C103),"",SUBTOTAL(3, $C$3:C103))</f>
        <v/>
      </c>
      <c r="C103" s="34"/>
      <c r="D103" s="6"/>
      <c r="E103" s="7"/>
      <c r="F103" s="7"/>
      <c r="G103" s="45" t="str">
        <f>IF(ISBLANK(Sacak13[[#This Row],[Adı Soyadı]]),"",VLOOKUP(Sacak13[[#This Row],[Ürün Cinsi]],Fiyat[[Ölçü]:[Birim Fiyatı]],2,0))</f>
        <v/>
      </c>
      <c r="H103" s="49" t="str">
        <f>IF(ISBLANK(Sacak13[[#This Row],[Adı Soyadı]]),"",Sacak13[[#This Row],[ADET]]*Sacak13[[#This Row],[BİRİM FİYAT]])</f>
        <v/>
      </c>
      <c r="I103" s="2" t="str">
        <f>IF(ISBLANK(Sacak13[[#This Row],[ADET]]),"",SUMIF(Sacak13[Adı Soyadı],Sacak13[[#This Row],[Adı Soyadı]],Sacak13[TUTAR]))</f>
        <v/>
      </c>
    </row>
    <row r="104" spans="2:9" ht="16.5" thickTop="1" thickBot="1" x14ac:dyDescent="0.3">
      <c r="B104" s="1" t="str">
        <f>IF(ISBLANK(C104),"",SUBTOTAL(3, $C$3:C104))</f>
        <v/>
      </c>
      <c r="C104" s="34"/>
      <c r="D104" s="6"/>
      <c r="E104" s="9"/>
      <c r="F104" s="9"/>
      <c r="G104" s="45" t="str">
        <f>IF(ISBLANK(Sacak13[[#This Row],[Adı Soyadı]]),"",VLOOKUP(Sacak13[[#This Row],[Ürün Cinsi]],Fiyat[[Ölçü]:[Birim Fiyatı]],2,0))</f>
        <v/>
      </c>
      <c r="H104" s="49" t="str">
        <f>IF(ISBLANK(Sacak13[[#This Row],[Adı Soyadı]]),"",Sacak13[[#This Row],[ADET]]*Sacak13[[#This Row],[BİRİM FİYAT]])</f>
        <v/>
      </c>
      <c r="I104" s="10" t="str">
        <f>IF(ISBLANK(Sacak13[[#This Row],[ADET]]),"",SUMIF(Sacak13[Adı Soyadı],Sacak13[[#This Row],[Adı Soyadı]],Sacak13[TUTAR]))</f>
        <v/>
      </c>
    </row>
    <row r="105" spans="2:9" ht="16.5" thickTop="1" thickBot="1" x14ac:dyDescent="0.3">
      <c r="B105" s="1" t="str">
        <f>IF(ISBLANK(C105),"",SUBTOTAL(3, $C$3:C105))</f>
        <v/>
      </c>
      <c r="C105" s="35"/>
      <c r="D105" s="8"/>
      <c r="E105" s="9"/>
      <c r="F105" s="9"/>
      <c r="G105" s="45" t="str">
        <f>IF(ISBLANK(Sacak13[[#This Row],[Adı Soyadı]]),"",VLOOKUP(Sacak13[[#This Row],[Ürün Cinsi]],Fiyat[[Ölçü]:[Birim Fiyatı]],2,0))</f>
        <v/>
      </c>
      <c r="H105" s="49" t="str">
        <f>IF(ISBLANK(Sacak13[[#This Row],[Adı Soyadı]]),"",Sacak13[[#This Row],[ADET]]*Sacak13[[#This Row],[BİRİM FİYAT]])</f>
        <v/>
      </c>
      <c r="I105" s="10" t="str">
        <f>IF(ISBLANK(Sacak13[[#This Row],[ADET]]),"",SUMIF(Sacak13[Adı Soyadı],Sacak13[[#This Row],[Adı Soyadı]],Sacak13[TUTAR]))</f>
        <v/>
      </c>
    </row>
    <row r="106" spans="2:9" ht="16.5" thickTop="1" thickBot="1" x14ac:dyDescent="0.3">
      <c r="B106" s="1" t="str">
        <f>IF(ISBLANK(C106),"",SUBTOTAL(3, $C$3:C106))</f>
        <v/>
      </c>
      <c r="C106" s="35"/>
      <c r="D106" s="8"/>
      <c r="E106" s="9"/>
      <c r="F106" s="9"/>
      <c r="G106" s="45" t="str">
        <f>IF(ISBLANK(Sacak13[[#This Row],[Adı Soyadı]]),"",VLOOKUP(Sacak13[[#This Row],[Ürün Cinsi]],Fiyat[[Ölçü]:[Birim Fiyatı]],2,0))</f>
        <v/>
      </c>
      <c r="H106" s="49" t="str">
        <f>IF(ISBLANK(Sacak13[[#This Row],[Adı Soyadı]]),"",Sacak13[[#This Row],[ADET]]*Sacak13[[#This Row],[BİRİM FİYAT]])</f>
        <v/>
      </c>
      <c r="I106" s="10" t="str">
        <f>IF(ISBLANK(Sacak13[[#This Row],[ADET]]),"",SUMIF(Sacak13[Adı Soyadı],Sacak13[[#This Row],[Adı Soyadı]],Sacak13[TUTAR]))</f>
        <v/>
      </c>
    </row>
    <row r="107" spans="2:9" ht="16.5" thickTop="1" thickBot="1" x14ac:dyDescent="0.3">
      <c r="B107" s="1" t="str">
        <f>IF(ISBLANK(C107),"",SUBTOTAL(3, $C$3:C107))</f>
        <v/>
      </c>
      <c r="C107" s="35"/>
      <c r="D107" s="8"/>
      <c r="E107" s="9"/>
      <c r="F107" s="9"/>
      <c r="G107" s="45" t="str">
        <f>IF(ISBLANK(Sacak13[[#This Row],[Adı Soyadı]]),"",VLOOKUP(Sacak13[[#This Row],[Ürün Cinsi]],Fiyat[[Ölçü]:[Birim Fiyatı]],2,0))</f>
        <v/>
      </c>
      <c r="H107" s="49" t="str">
        <f>IF(ISBLANK(Sacak13[[#This Row],[Adı Soyadı]]),"",Sacak13[[#This Row],[ADET]]*Sacak13[[#This Row],[BİRİM FİYAT]])</f>
        <v/>
      </c>
      <c r="I107" s="10" t="str">
        <f>IF(ISBLANK(Sacak13[[#This Row],[ADET]]),"",SUMIF(Sacak13[Adı Soyadı],Sacak13[[#This Row],[Adı Soyadı]],Sacak13[TUTAR]))</f>
        <v/>
      </c>
    </row>
    <row r="108" spans="2:9" ht="16.5" thickTop="1" thickBot="1" x14ac:dyDescent="0.3">
      <c r="B108" s="1" t="str">
        <f>IF(ISBLANK(C108),"",SUBTOTAL(3, $C$3:C108))</f>
        <v/>
      </c>
      <c r="C108" s="35"/>
      <c r="D108" s="8"/>
      <c r="E108" s="9"/>
      <c r="F108" s="9"/>
      <c r="G108" s="45" t="str">
        <f>IF(ISBLANK(Sacak13[[#This Row],[Adı Soyadı]]),"",VLOOKUP(Sacak13[[#This Row],[Ürün Cinsi]],Fiyat[[Ölçü]:[Birim Fiyatı]],2,0))</f>
        <v/>
      </c>
      <c r="H108" s="49" t="str">
        <f>IF(ISBLANK(Sacak13[[#This Row],[Adı Soyadı]]),"",Sacak13[[#This Row],[ADET]]*Sacak13[[#This Row],[BİRİM FİYAT]])</f>
        <v/>
      </c>
      <c r="I108" s="10" t="str">
        <f>IF(ISBLANK(Sacak13[[#This Row],[ADET]]),"",SUMIF(Sacak13[Adı Soyadı],Sacak13[[#This Row],[Adı Soyadı]],Sacak13[TUTAR]))</f>
        <v/>
      </c>
    </row>
    <row r="109" spans="2:9" ht="16.5" thickTop="1" thickBot="1" x14ac:dyDescent="0.3">
      <c r="B109" s="1" t="str">
        <f>IF(ISBLANK(C109),"",SUBTOTAL(3, $C$3:C109))</f>
        <v/>
      </c>
      <c r="C109" s="35"/>
      <c r="D109" s="8"/>
      <c r="E109" s="9"/>
      <c r="F109" s="9"/>
      <c r="G109" s="45" t="str">
        <f>IF(ISBLANK(Sacak13[[#This Row],[Adı Soyadı]]),"",VLOOKUP(Sacak13[[#This Row],[Ürün Cinsi]],Fiyat[[Ölçü]:[Birim Fiyatı]],2,0))</f>
        <v/>
      </c>
      <c r="H109" s="49" t="str">
        <f>IF(ISBLANK(Sacak13[[#This Row],[Adı Soyadı]]),"",Sacak13[[#This Row],[ADET]]*Sacak13[[#This Row],[BİRİM FİYAT]])</f>
        <v/>
      </c>
      <c r="I109" s="10" t="str">
        <f>IF(ISBLANK(Sacak13[[#This Row],[ADET]]),"",SUMIF(Sacak13[Adı Soyadı],Sacak13[[#This Row],[Adı Soyadı]],Sacak13[TUTAR]))</f>
        <v/>
      </c>
    </row>
    <row r="110" spans="2:9" ht="16.5" thickTop="1" thickBot="1" x14ac:dyDescent="0.3">
      <c r="B110" s="1" t="str">
        <f>IF(ISBLANK(C110),"",SUBTOTAL(3, $C$3:C110))</f>
        <v/>
      </c>
      <c r="C110" s="35"/>
      <c r="D110" s="8"/>
      <c r="E110" s="9"/>
      <c r="F110" s="9"/>
      <c r="G110" s="45" t="str">
        <f>IF(ISBLANK(Sacak13[[#This Row],[Adı Soyadı]]),"",VLOOKUP(Sacak13[[#This Row],[Ürün Cinsi]],Fiyat[[Ölçü]:[Birim Fiyatı]],2,0))</f>
        <v/>
      </c>
      <c r="H110" s="49" t="str">
        <f>IF(ISBLANK(Sacak13[[#This Row],[Adı Soyadı]]),"",Sacak13[[#This Row],[ADET]]*Sacak13[[#This Row],[BİRİM FİYAT]])</f>
        <v/>
      </c>
      <c r="I110" s="10" t="str">
        <f>IF(ISBLANK(Sacak13[[#This Row],[ADET]]),"",SUMIF(Sacak13[Adı Soyadı],Sacak13[[#This Row],[Adı Soyadı]],Sacak13[TUTAR]))</f>
        <v/>
      </c>
    </row>
    <row r="111" spans="2:9" ht="16.5" thickTop="1" thickBot="1" x14ac:dyDescent="0.3">
      <c r="B111" s="5" t="str">
        <f>IF(ISBLANK(C111),"",SUBTOTAL(3, $C$3:C111))</f>
        <v/>
      </c>
      <c r="C111" s="35"/>
      <c r="D111" s="8"/>
      <c r="E111" s="9"/>
      <c r="F111" s="9"/>
      <c r="G111" s="45" t="str">
        <f>IF(ISBLANK(Sacak13[[#This Row],[Adı Soyadı]]),"",VLOOKUP(Sacak13[[#This Row],[Ürün Cinsi]],Fiyat[[Ölçü]:[Birim Fiyatı]],2,0))</f>
        <v/>
      </c>
      <c r="H111" s="50" t="str">
        <f>IF(ISBLANK(Sacak13[[#This Row],[Adı Soyadı]]),"",Sacak13[[#This Row],[ADET]]*Sacak13[[#This Row],[BİRİM FİYAT]])</f>
        <v/>
      </c>
      <c r="I111" s="10" t="str">
        <f>IF(ISBLANK(Sacak13[[#This Row],[ADET]]),"",SUMIF(Sacak13[Adı Soyadı],Sacak13[[#This Row],[Adı Soyadı]],Sacak13[TUTAR]))</f>
        <v/>
      </c>
    </row>
    <row r="112" spans="2:9" ht="16.5" thickTop="1" thickBot="1" x14ac:dyDescent="0.3">
      <c r="B112" s="16" t="s">
        <v>41</v>
      </c>
      <c r="C112" s="17"/>
      <c r="D112" s="17"/>
      <c r="E112" s="18"/>
      <c r="F112" s="18">
        <f>SUBTOTAL(109,Sacak13[ADET])</f>
        <v>0</v>
      </c>
      <c r="G112" s="45"/>
      <c r="H112" s="45">
        <f>SUBTOTAL(109,Sacak13[TUTAR])</f>
        <v>0</v>
      </c>
      <c r="I112" s="51"/>
    </row>
    <row r="113" ht="15.75" thickTop="1" x14ac:dyDescent="0.25"/>
  </sheetData>
  <conditionalFormatting sqref="C3:C111">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B46B8EE-F1D5-46DD-95C0-F9BFC8806835}">
          <x14:formula1>
            <xm:f>Listeler!$I$3:$I$40</xm:f>
          </x14:formula1>
          <xm:sqref>E3:E111</xm:sqref>
        </x14:dataValidation>
        <x14:dataValidation type="list" allowBlank="1" showInputMessage="1" showErrorMessage="1" xr:uid="{6448296B-08D1-44E2-919E-EFCE446BEE5B}">
          <x14:formula1>
            <xm:f>Listeler!$F$3:$F$15</xm:f>
          </x14:formula1>
          <xm:sqref>D3:D111</xm:sqref>
        </x14:dataValidation>
        <x14:dataValidation type="list" allowBlank="1" showInputMessage="1" showErrorMessage="1" xr:uid="{AA3CB11F-8FAB-4565-9CAC-BB0CE8E95DE6}">
          <x14:formula1>
            <xm:f>Listeler!$C$3:$C$45</xm:f>
          </x14:formula1>
          <xm:sqref>C3:C111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53124-AD85-4D0B-A2CC-CEFDB1305973}">
  <sheetPr codeName="Sayfa10">
    <tabColor theme="7" tint="-0.499984740745262"/>
  </sheetPr>
  <dimension ref="B1:J99"/>
  <sheetViews>
    <sheetView zoomScaleNormal="100" workbookViewId="0">
      <pane ySplit="2" topLeftCell="A3" activePane="bottomLeft" state="frozen"/>
      <selection activeCell="F31" sqref="F31"/>
      <selection pane="bottomLeft" activeCell="M10" sqref="M10"/>
    </sheetView>
  </sheetViews>
  <sheetFormatPr defaultRowHeight="15" x14ac:dyDescent="0.25"/>
  <cols>
    <col min="1" max="1" width="2.7109375" customWidth="1"/>
    <col min="2" max="2" width="3.85546875" style="3" customWidth="1"/>
    <col min="3" max="3" width="18.42578125" style="52" customWidth="1"/>
    <col min="4" max="4" width="8.85546875" style="52" bestFit="1" customWidth="1"/>
    <col min="5" max="5" width="5.5703125" style="52" customWidth="1"/>
    <col min="6" max="6" width="4.28515625" style="52" customWidth="1"/>
    <col min="7" max="7" width="5.7109375" style="52" customWidth="1"/>
    <col min="8" max="8" width="9.28515625" style="3" customWidth="1"/>
    <col min="9" max="10" width="9.7109375" bestFit="1" customWidth="1"/>
  </cols>
  <sheetData>
    <row r="1" spans="2:10" ht="58.9" customHeight="1" thickBot="1" x14ac:dyDescent="0.3"/>
    <row r="2" spans="2:10" ht="25.9" customHeight="1" thickTop="1" thickBot="1" x14ac:dyDescent="0.3">
      <c r="B2" s="40" t="s">
        <v>19</v>
      </c>
      <c r="C2" s="41" t="s">
        <v>18</v>
      </c>
      <c r="D2" s="42" t="s">
        <v>52</v>
      </c>
      <c r="E2" s="43" t="s">
        <v>58</v>
      </c>
      <c r="F2" s="43" t="s">
        <v>59</v>
      </c>
      <c r="G2" s="44" t="s">
        <v>1</v>
      </c>
      <c r="H2" s="53" t="s">
        <v>2</v>
      </c>
      <c r="I2" s="47" t="s">
        <v>3</v>
      </c>
      <c r="J2" s="15" t="s">
        <v>44</v>
      </c>
    </row>
    <row r="3" spans="2:10" ht="16.5" thickTop="1" thickBot="1" x14ac:dyDescent="0.3">
      <c r="B3" s="16" t="str">
        <f>IF(ISBLANK(C3),"",SUBTOTAL(3, $C$3:C3))</f>
        <v/>
      </c>
      <c r="C3" s="32"/>
      <c r="D3" s="17"/>
      <c r="E3" s="18"/>
      <c r="F3" s="18"/>
      <c r="G3" s="18"/>
      <c r="H3" s="45" t="str">
        <f>IF(ISBLANK(ElOverlogu11[[#This Row],[Adı Soyadı]]),"",VLOOKUP(ElOverlogu11[[#This Row],[En]],Fiyat[[Ölçü]:[Birim Fiyatı]],2,0))</f>
        <v/>
      </c>
      <c r="I3" s="45" t="str">
        <f>IF(ISBLANK(ElOverlogu11[[#This Row],[En]]),"",(ElOverlogu11[[#This Row],[En]])*ElOverlogu11[[#This Row],[ADET]]*2*ElOverlogu11[[#This Row],[BİRİM FİYAT]]/100)</f>
        <v/>
      </c>
      <c r="J3" s="46" t="str">
        <f>IF(ISBLANK(ElOverlogu11[[#This Row],[En]]),"",SUMIF(ElOverlogu11[Adı Soyadı],ElOverlogu11[[#This Row],[Adı Soyadı]],ElOverlogu11[TUTAR]))</f>
        <v/>
      </c>
    </row>
    <row r="4" spans="2:10" ht="16.5" thickTop="1" thickBot="1" x14ac:dyDescent="0.3">
      <c r="B4" s="16" t="str">
        <f>IF(ISBLANK(C4),"",SUBTOTAL(3, $C$3:C4))</f>
        <v/>
      </c>
      <c r="C4" s="32"/>
      <c r="D4" s="17"/>
      <c r="E4" s="18"/>
      <c r="F4" s="18"/>
      <c r="G4" s="18"/>
      <c r="H4" s="45" t="str">
        <f>IF(ISBLANK(ElOverlogu11[[#This Row],[Adı Soyadı]]),"",VLOOKUP(ElOverlogu11[[#This Row],[En]],Fiyat[[Ölçü]:[Birim Fiyatı]],2,0))</f>
        <v/>
      </c>
      <c r="I4" s="45" t="str">
        <f>IF(ISBLANK(ElOverlogu11[[#This Row],[En]]),"",(ElOverlogu11[[#This Row],[En]])*ElOverlogu11[[#This Row],[ADET]]*2*ElOverlogu11[[#This Row],[BİRİM FİYAT]]/100)</f>
        <v/>
      </c>
      <c r="J4" s="46" t="str">
        <f>IF(ISBLANK(ElOverlogu11[[#This Row],[En]]),"",SUMIF(ElOverlogu11[Adı Soyadı],ElOverlogu11[[#This Row],[Adı Soyadı]],ElOverlogu11[TUTAR]))</f>
        <v/>
      </c>
    </row>
    <row r="5" spans="2:10" ht="16.5" thickTop="1" thickBot="1" x14ac:dyDescent="0.3">
      <c r="B5" s="16" t="str">
        <f>IF(ISBLANK(C5),"",SUBTOTAL(3, $C$3:C5))</f>
        <v/>
      </c>
      <c r="C5" s="32"/>
      <c r="D5" s="17"/>
      <c r="E5" s="18"/>
      <c r="F5" s="18"/>
      <c r="G5" s="18"/>
      <c r="H5" s="45" t="str">
        <f>IF(ISBLANK(ElOverlogu11[[#This Row],[Adı Soyadı]]),"",VLOOKUP(ElOverlogu11[[#This Row],[En]],Fiyat[[Ölçü]:[Birim Fiyatı]],2,0))</f>
        <v/>
      </c>
      <c r="I5" s="45" t="str">
        <f>IF(ISBLANK(ElOverlogu11[[#This Row],[En]]),"",(ElOverlogu11[[#This Row],[En]])*ElOverlogu11[[#This Row],[ADET]]*2*ElOverlogu11[[#This Row],[BİRİM FİYAT]]/100)</f>
        <v/>
      </c>
      <c r="J5" s="46" t="str">
        <f>IF(ISBLANK(ElOverlogu11[[#This Row],[En]]),"",SUMIF(ElOverlogu11[Adı Soyadı],ElOverlogu11[[#This Row],[Adı Soyadı]],ElOverlogu11[TUTAR]))</f>
        <v/>
      </c>
    </row>
    <row r="6" spans="2:10" ht="16.5" thickTop="1" thickBot="1" x14ac:dyDescent="0.3">
      <c r="B6" s="16" t="str">
        <f>IF(ISBLANK(C6),"",SUBTOTAL(3, $C$3:C6))</f>
        <v/>
      </c>
      <c r="C6" s="32"/>
      <c r="D6" s="17"/>
      <c r="E6" s="18"/>
      <c r="F6" s="18"/>
      <c r="G6" s="18"/>
      <c r="H6" s="45" t="str">
        <f>IF(ISBLANK(ElOverlogu11[[#This Row],[Adı Soyadı]]),"",VLOOKUP(ElOverlogu11[[#This Row],[En]],Fiyat[[Ölçü]:[Birim Fiyatı]],2,0))</f>
        <v/>
      </c>
      <c r="I6" s="45" t="str">
        <f>IF(ISBLANK(ElOverlogu11[[#This Row],[En]]),"",(ElOverlogu11[[#This Row],[En]])*ElOverlogu11[[#This Row],[ADET]]*2*ElOverlogu11[[#This Row],[BİRİM FİYAT]]/100)</f>
        <v/>
      </c>
      <c r="J6" s="46" t="str">
        <f>IF(ISBLANK(ElOverlogu11[[#This Row],[En]]),"",SUMIF(ElOverlogu11[Adı Soyadı],ElOverlogu11[[#This Row],[Adı Soyadı]],ElOverlogu11[TUTAR]))</f>
        <v/>
      </c>
    </row>
    <row r="7" spans="2:10" ht="16.5" thickTop="1" thickBot="1" x14ac:dyDescent="0.3">
      <c r="B7" s="16" t="str">
        <f>IF(ISBLANK(C7),"",SUBTOTAL(3, $C$3:C7))</f>
        <v/>
      </c>
      <c r="C7" s="32"/>
      <c r="D7" s="17"/>
      <c r="E7" s="18"/>
      <c r="F7" s="18"/>
      <c r="G7" s="18"/>
      <c r="H7" s="45" t="str">
        <f>IF(ISBLANK(ElOverlogu11[[#This Row],[Adı Soyadı]]),"",VLOOKUP(ElOverlogu11[[#This Row],[En]],Fiyat[[Ölçü]:[Birim Fiyatı]],2,0))</f>
        <v/>
      </c>
      <c r="I7" s="45" t="str">
        <f>IF(ISBLANK(ElOverlogu11[[#This Row],[En]]),"",(ElOverlogu11[[#This Row],[En]])*ElOverlogu11[[#This Row],[ADET]]*2*ElOverlogu11[[#This Row],[BİRİM FİYAT]]/100)</f>
        <v/>
      </c>
      <c r="J7" s="46" t="str">
        <f>IF(ISBLANK(ElOverlogu11[[#This Row],[En]]),"",SUMIF(ElOverlogu11[Adı Soyadı],ElOverlogu11[[#This Row],[Adı Soyadı]],ElOverlogu11[TUTAR]))</f>
        <v/>
      </c>
    </row>
    <row r="8" spans="2:10" ht="16.5" thickTop="1" thickBot="1" x14ac:dyDescent="0.3">
      <c r="B8" s="16" t="str">
        <f>IF(ISBLANK(C8),"",SUBTOTAL(3, $C$3:C8))</f>
        <v/>
      </c>
      <c r="C8" s="32"/>
      <c r="D8" s="17"/>
      <c r="E8" s="18"/>
      <c r="F8" s="18"/>
      <c r="G8" s="18"/>
      <c r="H8" s="45" t="str">
        <f>IF(ISBLANK(ElOverlogu11[[#This Row],[Adı Soyadı]]),"",VLOOKUP(ElOverlogu11[[#This Row],[En]],Fiyat[[Ölçü]:[Birim Fiyatı]],2,0))</f>
        <v/>
      </c>
      <c r="I8" s="45" t="str">
        <f>IF(ISBLANK(ElOverlogu11[[#This Row],[En]]),"",(ElOverlogu11[[#This Row],[En]])*ElOverlogu11[[#This Row],[ADET]]*2*ElOverlogu11[[#This Row],[BİRİM FİYAT]]/100)</f>
        <v/>
      </c>
      <c r="J8" s="46" t="str">
        <f>IF(ISBLANK(ElOverlogu11[[#This Row],[En]]),"",SUMIF(ElOverlogu11[Adı Soyadı],ElOverlogu11[[#This Row],[Adı Soyadı]],ElOverlogu11[TUTAR]))</f>
        <v/>
      </c>
    </row>
    <row r="9" spans="2:10" ht="16.5" thickTop="1" thickBot="1" x14ac:dyDescent="0.3">
      <c r="B9" s="16" t="str">
        <f>IF(ISBLANK(C9),"",SUBTOTAL(3, $C$3:C9))</f>
        <v/>
      </c>
      <c r="C9" s="32"/>
      <c r="D9" s="17"/>
      <c r="E9" s="18"/>
      <c r="F9" s="18"/>
      <c r="G9" s="18"/>
      <c r="H9" s="45" t="str">
        <f>IF(ISBLANK(ElOverlogu11[[#This Row],[Adı Soyadı]]),"",VLOOKUP(ElOverlogu11[[#This Row],[En]],Fiyat[[Ölçü]:[Birim Fiyatı]],2,0))</f>
        <v/>
      </c>
      <c r="I9" s="45" t="str">
        <f>IF(ISBLANK(ElOverlogu11[[#This Row],[En]]),"",(ElOverlogu11[[#This Row],[En]])*ElOverlogu11[[#This Row],[ADET]]*2*ElOverlogu11[[#This Row],[BİRİM FİYAT]]/100)</f>
        <v/>
      </c>
      <c r="J9" s="46" t="str">
        <f>IF(ISBLANK(ElOverlogu11[[#This Row],[En]]),"",SUMIF(ElOverlogu11[Adı Soyadı],ElOverlogu11[[#This Row],[Adı Soyadı]],ElOverlogu11[TUTAR]))</f>
        <v/>
      </c>
    </row>
    <row r="10" spans="2:10" ht="16.5" thickTop="1" thickBot="1" x14ac:dyDescent="0.3">
      <c r="B10" s="16" t="str">
        <f>IF(ISBLANK(C10),"",SUBTOTAL(3, $C$3:C10))</f>
        <v/>
      </c>
      <c r="C10" s="32"/>
      <c r="D10" s="17"/>
      <c r="E10" s="18"/>
      <c r="F10" s="18"/>
      <c r="G10" s="18"/>
      <c r="H10" s="45" t="str">
        <f>IF(ISBLANK(ElOverlogu11[[#This Row],[Adı Soyadı]]),"",VLOOKUP(ElOverlogu11[[#This Row],[En]],Fiyat[[Ölçü]:[Birim Fiyatı]],2,0))</f>
        <v/>
      </c>
      <c r="I10" s="45" t="str">
        <f>IF(ISBLANK(ElOverlogu11[[#This Row],[En]]),"",(ElOverlogu11[[#This Row],[En]])*ElOverlogu11[[#This Row],[ADET]]*2*ElOverlogu11[[#This Row],[BİRİM FİYAT]]/100)</f>
        <v/>
      </c>
      <c r="J10" s="46" t="str">
        <f>IF(ISBLANK(ElOverlogu11[[#This Row],[En]]),"",SUMIF(ElOverlogu11[Adı Soyadı],ElOverlogu11[[#This Row],[Adı Soyadı]],ElOverlogu11[TUTAR]))</f>
        <v/>
      </c>
    </row>
    <row r="11" spans="2:10" ht="16.5" thickTop="1" thickBot="1" x14ac:dyDescent="0.3">
      <c r="B11" s="16" t="str">
        <f>IF(ISBLANK(C11),"",SUBTOTAL(3, $C$3:C11))</f>
        <v/>
      </c>
      <c r="C11" s="32"/>
      <c r="D11" s="17"/>
      <c r="E11" s="18"/>
      <c r="F11" s="18"/>
      <c r="G11" s="18"/>
      <c r="H11" s="45" t="str">
        <f>IF(ISBLANK(ElOverlogu11[[#This Row],[Adı Soyadı]]),"",VLOOKUP(ElOverlogu11[[#This Row],[En]],Fiyat[[Ölçü]:[Birim Fiyatı]],2,0))</f>
        <v/>
      </c>
      <c r="I11" s="45" t="str">
        <f>IF(ISBLANK(ElOverlogu11[[#This Row],[En]]),"",(ElOverlogu11[[#This Row],[En]])*ElOverlogu11[[#This Row],[ADET]]*2*ElOverlogu11[[#This Row],[BİRİM FİYAT]]/100)</f>
        <v/>
      </c>
      <c r="J11" s="46" t="str">
        <f>IF(ISBLANK(ElOverlogu11[[#This Row],[En]]),"",SUMIF(ElOverlogu11[Adı Soyadı],ElOverlogu11[[#This Row],[Adı Soyadı]],ElOverlogu11[TUTAR]))</f>
        <v/>
      </c>
    </row>
    <row r="12" spans="2:10" ht="16.5" thickTop="1" thickBot="1" x14ac:dyDescent="0.3">
      <c r="B12" s="16" t="str">
        <f>IF(ISBLANK(C12),"",SUBTOTAL(3, $C$3:C12))</f>
        <v/>
      </c>
      <c r="C12" s="32"/>
      <c r="D12" s="17"/>
      <c r="E12" s="18"/>
      <c r="F12" s="18"/>
      <c r="G12" s="18"/>
      <c r="H12" s="45" t="str">
        <f>IF(ISBLANK(ElOverlogu11[[#This Row],[Adı Soyadı]]),"",VLOOKUP(ElOverlogu11[[#This Row],[En]],Fiyat[[Ölçü]:[Birim Fiyatı]],2,0))</f>
        <v/>
      </c>
      <c r="I12" s="45" t="str">
        <f>IF(ISBLANK(ElOverlogu11[[#This Row],[En]]),"",(ElOverlogu11[[#This Row],[En]])*ElOverlogu11[[#This Row],[ADET]]*2*ElOverlogu11[[#This Row],[BİRİM FİYAT]]/100)</f>
        <v/>
      </c>
      <c r="J12" s="46" t="str">
        <f>IF(ISBLANK(ElOverlogu11[[#This Row],[En]]),"",SUMIF(ElOverlogu11[Adı Soyadı],ElOverlogu11[[#This Row],[Adı Soyadı]],ElOverlogu11[TUTAR]))</f>
        <v/>
      </c>
    </row>
    <row r="13" spans="2:10" ht="16.5" thickTop="1" thickBot="1" x14ac:dyDescent="0.3">
      <c r="B13" s="16" t="str">
        <f>IF(ISBLANK(C13),"",SUBTOTAL(3, $C$3:C13))</f>
        <v/>
      </c>
      <c r="C13" s="32"/>
      <c r="D13" s="17"/>
      <c r="E13" s="18"/>
      <c r="F13" s="18"/>
      <c r="G13" s="18"/>
      <c r="H13" s="45" t="str">
        <f>IF(ISBLANK(ElOverlogu11[[#This Row],[Adı Soyadı]]),"",VLOOKUP(ElOverlogu11[[#This Row],[En]],Fiyat[[Ölçü]:[Birim Fiyatı]],2,0))</f>
        <v/>
      </c>
      <c r="I13" s="45" t="str">
        <f>IF(ISBLANK(ElOverlogu11[[#This Row],[En]]),"",(ElOverlogu11[[#This Row],[En]])*ElOverlogu11[[#This Row],[ADET]]*2*ElOverlogu11[[#This Row],[BİRİM FİYAT]]/100)</f>
        <v/>
      </c>
      <c r="J13" s="46" t="str">
        <f>IF(ISBLANK(ElOverlogu11[[#This Row],[En]]),"",SUMIF(ElOverlogu11[Adı Soyadı],ElOverlogu11[[#This Row],[Adı Soyadı]],ElOverlogu11[TUTAR]))</f>
        <v/>
      </c>
    </row>
    <row r="14" spans="2:10" ht="16.5" thickTop="1" thickBot="1" x14ac:dyDescent="0.3">
      <c r="B14" s="16" t="str">
        <f>IF(ISBLANK(C14),"",SUBTOTAL(3, $C$3:C14))</f>
        <v/>
      </c>
      <c r="C14" s="32"/>
      <c r="D14" s="17"/>
      <c r="E14" s="18"/>
      <c r="F14" s="18"/>
      <c r="G14" s="18"/>
      <c r="H14" s="45" t="str">
        <f>IF(ISBLANK(ElOverlogu11[[#This Row],[Adı Soyadı]]),"",VLOOKUP(ElOverlogu11[[#This Row],[En]],Fiyat[[Ölçü]:[Birim Fiyatı]],2,0))</f>
        <v/>
      </c>
      <c r="I14" s="45" t="str">
        <f>IF(ISBLANK(ElOverlogu11[[#This Row],[En]]),"",(ElOverlogu11[[#This Row],[En]])*ElOverlogu11[[#This Row],[ADET]]*2*ElOverlogu11[[#This Row],[BİRİM FİYAT]]/100)</f>
        <v/>
      </c>
      <c r="J14" s="46" t="str">
        <f>IF(ISBLANK(ElOverlogu11[[#This Row],[En]]),"",SUMIF(ElOverlogu11[Adı Soyadı],ElOverlogu11[[#This Row],[Adı Soyadı]],ElOverlogu11[TUTAR]))</f>
        <v/>
      </c>
    </row>
    <row r="15" spans="2:10" ht="16.5" thickTop="1" thickBot="1" x14ac:dyDescent="0.3">
      <c r="B15" s="16" t="str">
        <f>IF(ISBLANK(C15),"",SUBTOTAL(3, $C$3:C15))</f>
        <v/>
      </c>
      <c r="C15" s="32"/>
      <c r="D15" s="17"/>
      <c r="E15" s="18"/>
      <c r="F15" s="18"/>
      <c r="G15" s="18"/>
      <c r="H15" s="45" t="str">
        <f>IF(ISBLANK(ElOverlogu11[[#This Row],[Adı Soyadı]]),"",VLOOKUP(ElOverlogu11[[#This Row],[En]],Fiyat[[Ölçü]:[Birim Fiyatı]],2,0))</f>
        <v/>
      </c>
      <c r="I15" s="45" t="str">
        <f>IF(ISBLANK(ElOverlogu11[[#This Row],[En]]),"",(ElOverlogu11[[#This Row],[En]])*ElOverlogu11[[#This Row],[ADET]]*2*ElOverlogu11[[#This Row],[BİRİM FİYAT]]/100)</f>
        <v/>
      </c>
      <c r="J15" s="46" t="str">
        <f>IF(ISBLANK(ElOverlogu11[[#This Row],[En]]),"",SUMIF(ElOverlogu11[Adı Soyadı],ElOverlogu11[[#This Row],[Adı Soyadı]],ElOverlogu11[TUTAR]))</f>
        <v/>
      </c>
    </row>
    <row r="16" spans="2:10" ht="16.5" thickTop="1" thickBot="1" x14ac:dyDescent="0.3">
      <c r="B16" s="16" t="str">
        <f>IF(ISBLANK(C16),"",SUBTOTAL(3, $C$3:C16))</f>
        <v/>
      </c>
      <c r="C16" s="32"/>
      <c r="D16" s="17"/>
      <c r="E16" s="18"/>
      <c r="F16" s="18"/>
      <c r="G16" s="18"/>
      <c r="H16" s="45" t="str">
        <f>IF(ISBLANK(ElOverlogu11[[#This Row],[Adı Soyadı]]),"",VLOOKUP(ElOverlogu11[[#This Row],[En]],Fiyat[[Ölçü]:[Birim Fiyatı]],2,0))</f>
        <v/>
      </c>
      <c r="I16" s="45" t="str">
        <f>IF(ISBLANK(ElOverlogu11[[#This Row],[En]]),"",(ElOverlogu11[[#This Row],[En]])*ElOverlogu11[[#This Row],[ADET]]*2*ElOverlogu11[[#This Row],[BİRİM FİYAT]]/100)</f>
        <v/>
      </c>
      <c r="J16" s="46" t="str">
        <f>IF(ISBLANK(ElOverlogu11[[#This Row],[En]]),"",SUMIF(ElOverlogu11[Adı Soyadı],ElOverlogu11[[#This Row],[Adı Soyadı]],ElOverlogu11[TUTAR]))</f>
        <v/>
      </c>
    </row>
    <row r="17" spans="2:10" ht="16.5" thickTop="1" thickBot="1" x14ac:dyDescent="0.3">
      <c r="B17" s="16" t="str">
        <f>IF(ISBLANK(C17),"",SUBTOTAL(3, $C$3:C17))</f>
        <v/>
      </c>
      <c r="C17" s="32"/>
      <c r="D17" s="17"/>
      <c r="E17" s="18"/>
      <c r="F17" s="18"/>
      <c r="G17" s="18"/>
      <c r="H17" s="45" t="str">
        <f>IF(ISBLANK(ElOverlogu11[[#This Row],[Adı Soyadı]]),"",VLOOKUP(ElOverlogu11[[#This Row],[En]],Fiyat[[Ölçü]:[Birim Fiyatı]],2,0))</f>
        <v/>
      </c>
      <c r="I17" s="45" t="str">
        <f>IF(ISBLANK(ElOverlogu11[[#This Row],[En]]),"",(ElOverlogu11[[#This Row],[En]])*ElOverlogu11[[#This Row],[ADET]]*2*ElOverlogu11[[#This Row],[BİRİM FİYAT]]/100)</f>
        <v/>
      </c>
      <c r="J17" s="46" t="str">
        <f>IF(ISBLANK(ElOverlogu11[[#This Row],[En]]),"",SUMIF(ElOverlogu11[Adı Soyadı],ElOverlogu11[[#This Row],[Adı Soyadı]],ElOverlogu11[TUTAR]))</f>
        <v/>
      </c>
    </row>
    <row r="18" spans="2:10" ht="16.5" thickTop="1" thickBot="1" x14ac:dyDescent="0.3">
      <c r="B18" s="16" t="str">
        <f>IF(ISBLANK(C18),"",SUBTOTAL(3, $C$3:C18))</f>
        <v/>
      </c>
      <c r="C18" s="32"/>
      <c r="D18" s="17"/>
      <c r="E18" s="18"/>
      <c r="F18" s="18"/>
      <c r="G18" s="18"/>
      <c r="H18" s="45" t="str">
        <f>IF(ISBLANK(ElOverlogu11[[#This Row],[Adı Soyadı]]),"",VLOOKUP(ElOverlogu11[[#This Row],[En]],Fiyat[[Ölçü]:[Birim Fiyatı]],2,0))</f>
        <v/>
      </c>
      <c r="I18" s="45" t="str">
        <f>IF(ISBLANK(ElOverlogu11[[#This Row],[En]]),"",(ElOverlogu11[[#This Row],[En]])*ElOverlogu11[[#This Row],[ADET]]*2*ElOverlogu11[[#This Row],[BİRİM FİYAT]]/100)</f>
        <v/>
      </c>
      <c r="J18" s="46" t="str">
        <f>IF(ISBLANK(ElOverlogu11[[#This Row],[En]]),"",SUMIF(ElOverlogu11[Adı Soyadı],ElOverlogu11[[#This Row],[Adı Soyadı]],ElOverlogu11[TUTAR]))</f>
        <v/>
      </c>
    </row>
    <row r="19" spans="2:10" ht="16.5" thickTop="1" thickBot="1" x14ac:dyDescent="0.3">
      <c r="B19" s="16" t="str">
        <f>IF(ISBLANK(C19),"",SUBTOTAL(3, $C$3:C19))</f>
        <v/>
      </c>
      <c r="C19" s="32"/>
      <c r="D19" s="17"/>
      <c r="E19" s="18"/>
      <c r="F19" s="18"/>
      <c r="G19" s="18"/>
      <c r="H19" s="45" t="str">
        <f>IF(ISBLANK(ElOverlogu11[[#This Row],[Adı Soyadı]]),"",VLOOKUP(ElOverlogu11[[#This Row],[En]],Fiyat[[Ölçü]:[Birim Fiyatı]],2,0))</f>
        <v/>
      </c>
      <c r="I19" s="45" t="str">
        <f>IF(ISBLANK(ElOverlogu11[[#This Row],[En]]),"",(ElOverlogu11[[#This Row],[En]])*ElOverlogu11[[#This Row],[ADET]]*2*ElOverlogu11[[#This Row],[BİRİM FİYAT]]/100)</f>
        <v/>
      </c>
      <c r="J19" s="46" t="str">
        <f>IF(ISBLANK(ElOverlogu11[[#This Row],[En]]),"",SUMIF(ElOverlogu11[Adı Soyadı],ElOverlogu11[[#This Row],[Adı Soyadı]],ElOverlogu11[TUTAR]))</f>
        <v/>
      </c>
    </row>
    <row r="20" spans="2:10" ht="16.5" thickTop="1" thickBot="1" x14ac:dyDescent="0.3">
      <c r="B20" s="16" t="str">
        <f>IF(ISBLANK(C20),"",SUBTOTAL(3, $C$3:C20))</f>
        <v/>
      </c>
      <c r="C20" s="32"/>
      <c r="D20" s="17"/>
      <c r="E20" s="18"/>
      <c r="F20" s="18"/>
      <c r="G20" s="18"/>
      <c r="H20" s="45" t="str">
        <f>IF(ISBLANK(ElOverlogu11[[#This Row],[Adı Soyadı]]),"",VLOOKUP(ElOverlogu11[[#This Row],[En]],Fiyat[[Ölçü]:[Birim Fiyatı]],2,0))</f>
        <v/>
      </c>
      <c r="I20" s="45" t="str">
        <f>IF(ISBLANK(ElOverlogu11[[#This Row],[En]]),"",(ElOverlogu11[[#This Row],[En]])*ElOverlogu11[[#This Row],[ADET]]*2*ElOverlogu11[[#This Row],[BİRİM FİYAT]]/100)</f>
        <v/>
      </c>
      <c r="J20" s="46" t="str">
        <f>IF(ISBLANK(ElOverlogu11[[#This Row],[En]]),"",SUMIF(ElOverlogu11[Adı Soyadı],ElOverlogu11[[#This Row],[Adı Soyadı]],ElOverlogu11[TUTAR]))</f>
        <v/>
      </c>
    </row>
    <row r="21" spans="2:10" ht="16.5" thickTop="1" thickBot="1" x14ac:dyDescent="0.3">
      <c r="B21" s="16" t="str">
        <f>IF(ISBLANK(C21),"",SUBTOTAL(3, $C$3:C21))</f>
        <v/>
      </c>
      <c r="C21" s="32"/>
      <c r="D21" s="17"/>
      <c r="E21" s="18"/>
      <c r="F21" s="18"/>
      <c r="G21" s="18"/>
      <c r="H21" s="45" t="str">
        <f>IF(ISBLANK(ElOverlogu11[[#This Row],[Adı Soyadı]]),"",VLOOKUP(ElOverlogu11[[#This Row],[En]],Fiyat[[Ölçü]:[Birim Fiyatı]],2,0))</f>
        <v/>
      </c>
      <c r="I21" s="45" t="str">
        <f>IF(ISBLANK(ElOverlogu11[[#This Row],[En]]),"",(ElOverlogu11[[#This Row],[En]])*ElOverlogu11[[#This Row],[ADET]]*2*ElOverlogu11[[#This Row],[BİRİM FİYAT]]/100)</f>
        <v/>
      </c>
      <c r="J21" s="46" t="str">
        <f>IF(ISBLANK(ElOverlogu11[[#This Row],[En]]),"",SUMIF(ElOverlogu11[Adı Soyadı],ElOverlogu11[[#This Row],[Adı Soyadı]],ElOverlogu11[TUTAR]))</f>
        <v/>
      </c>
    </row>
    <row r="22" spans="2:10" ht="16.5" thickTop="1" thickBot="1" x14ac:dyDescent="0.3">
      <c r="B22" s="16" t="str">
        <f>IF(ISBLANK(C22),"",SUBTOTAL(3, $C$3:C22))</f>
        <v/>
      </c>
      <c r="C22" s="32"/>
      <c r="D22" s="17"/>
      <c r="E22" s="18"/>
      <c r="F22" s="18"/>
      <c r="G22" s="18"/>
      <c r="H22" s="45" t="str">
        <f>IF(ISBLANK(ElOverlogu11[[#This Row],[Adı Soyadı]]),"",VLOOKUP(ElOverlogu11[[#This Row],[En]],Fiyat[[Ölçü]:[Birim Fiyatı]],2,0))</f>
        <v/>
      </c>
      <c r="I22" s="45" t="str">
        <f>IF(ISBLANK(ElOverlogu11[[#This Row],[En]]),"",(ElOverlogu11[[#This Row],[En]])*ElOverlogu11[[#This Row],[ADET]]*2*ElOverlogu11[[#This Row],[BİRİM FİYAT]]/100)</f>
        <v/>
      </c>
      <c r="J22" s="46" t="str">
        <f>IF(ISBLANK(ElOverlogu11[[#This Row],[En]]),"",SUMIF(ElOverlogu11[Adı Soyadı],ElOverlogu11[[#This Row],[Adı Soyadı]],ElOverlogu11[TUTAR]))</f>
        <v/>
      </c>
    </row>
    <row r="23" spans="2:10" ht="16.5" thickTop="1" thickBot="1" x14ac:dyDescent="0.3">
      <c r="B23" s="16" t="str">
        <f>IF(ISBLANK(C23),"",SUBTOTAL(3, $C$3:C23))</f>
        <v/>
      </c>
      <c r="C23" s="32"/>
      <c r="D23" s="17"/>
      <c r="E23" s="18"/>
      <c r="F23" s="18"/>
      <c r="G23" s="18"/>
      <c r="H23" s="45" t="str">
        <f>IF(ISBLANK(ElOverlogu11[[#This Row],[Adı Soyadı]]),"",VLOOKUP(ElOverlogu11[[#This Row],[En]],Fiyat[[Ölçü]:[Birim Fiyatı]],2,0))</f>
        <v/>
      </c>
      <c r="I23" s="45" t="str">
        <f>IF(ISBLANK(ElOverlogu11[[#This Row],[En]]),"",(ElOverlogu11[[#This Row],[En]])*ElOverlogu11[[#This Row],[ADET]]*2*ElOverlogu11[[#This Row],[BİRİM FİYAT]]/100)</f>
        <v/>
      </c>
      <c r="J23" s="46" t="str">
        <f>IF(ISBLANK(ElOverlogu11[[#This Row],[En]]),"",SUMIF(ElOverlogu11[Adı Soyadı],ElOverlogu11[[#This Row],[Adı Soyadı]],ElOverlogu11[TUTAR]))</f>
        <v/>
      </c>
    </row>
    <row r="24" spans="2:10" ht="16.5" thickTop="1" thickBot="1" x14ac:dyDescent="0.3">
      <c r="B24" s="16" t="str">
        <f>IF(ISBLANK(C24),"",SUBTOTAL(3, $C$3:C24))</f>
        <v/>
      </c>
      <c r="C24" s="32"/>
      <c r="D24" s="17"/>
      <c r="E24" s="18"/>
      <c r="F24" s="18"/>
      <c r="G24" s="18"/>
      <c r="H24" s="45" t="str">
        <f>IF(ISBLANK(ElOverlogu11[[#This Row],[Adı Soyadı]]),"",VLOOKUP(ElOverlogu11[[#This Row],[En]],Fiyat[[Ölçü]:[Birim Fiyatı]],2,0))</f>
        <v/>
      </c>
      <c r="I24" s="45" t="str">
        <f>IF(ISBLANK(ElOverlogu11[[#This Row],[En]]),"",(ElOverlogu11[[#This Row],[En]])*ElOverlogu11[[#This Row],[ADET]]*2*ElOverlogu11[[#This Row],[BİRİM FİYAT]]/100)</f>
        <v/>
      </c>
      <c r="J24" s="46" t="str">
        <f>IF(ISBLANK(ElOverlogu11[[#This Row],[En]]),"",SUMIF(ElOverlogu11[Adı Soyadı],ElOverlogu11[[#This Row],[Adı Soyadı]],ElOverlogu11[TUTAR]))</f>
        <v/>
      </c>
    </row>
    <row r="25" spans="2:10" ht="16.5" thickTop="1" thickBot="1" x14ac:dyDescent="0.3">
      <c r="B25" s="16" t="str">
        <f>IF(ISBLANK(C25),"",SUBTOTAL(3, $C$3:C25))</f>
        <v/>
      </c>
      <c r="C25" s="32"/>
      <c r="D25" s="17"/>
      <c r="E25" s="18"/>
      <c r="F25" s="18"/>
      <c r="G25" s="18"/>
      <c r="H25" s="45" t="str">
        <f>IF(ISBLANK(ElOverlogu11[[#This Row],[Adı Soyadı]]),"",VLOOKUP(ElOverlogu11[[#This Row],[En]],Fiyat[[Ölçü]:[Birim Fiyatı]],2,0))</f>
        <v/>
      </c>
      <c r="I25" s="45" t="str">
        <f>IF(ISBLANK(ElOverlogu11[[#This Row],[En]]),"",(ElOverlogu11[[#This Row],[En]])*ElOverlogu11[[#This Row],[ADET]]*2*ElOverlogu11[[#This Row],[BİRİM FİYAT]]/100)</f>
        <v/>
      </c>
      <c r="J25" s="46" t="str">
        <f>IF(ISBLANK(ElOverlogu11[[#This Row],[En]]),"",SUMIF(ElOverlogu11[Adı Soyadı],ElOverlogu11[[#This Row],[Adı Soyadı]],ElOverlogu11[TUTAR]))</f>
        <v/>
      </c>
    </row>
    <row r="26" spans="2:10" ht="16.5" thickTop="1" thickBot="1" x14ac:dyDescent="0.3">
      <c r="B26" s="16" t="str">
        <f>IF(ISBLANK(C26),"",SUBTOTAL(3, $C$3:C26))</f>
        <v/>
      </c>
      <c r="C26" s="32"/>
      <c r="D26" s="17"/>
      <c r="E26" s="18"/>
      <c r="F26" s="18"/>
      <c r="G26" s="18"/>
      <c r="H26" s="45" t="str">
        <f>IF(ISBLANK(ElOverlogu11[[#This Row],[Adı Soyadı]]),"",VLOOKUP(ElOverlogu11[[#This Row],[En]],Fiyat[[Ölçü]:[Birim Fiyatı]],2,0))</f>
        <v/>
      </c>
      <c r="I26" s="45" t="str">
        <f>IF(ISBLANK(ElOverlogu11[[#This Row],[En]]),"",(ElOverlogu11[[#This Row],[En]])*ElOverlogu11[[#This Row],[ADET]]*2*ElOverlogu11[[#This Row],[BİRİM FİYAT]]/100)</f>
        <v/>
      </c>
      <c r="J26" s="46" t="str">
        <f>IF(ISBLANK(ElOverlogu11[[#This Row],[En]]),"",SUMIF(ElOverlogu11[Adı Soyadı],ElOverlogu11[[#This Row],[Adı Soyadı]],ElOverlogu11[TUTAR]))</f>
        <v/>
      </c>
    </row>
    <row r="27" spans="2:10" ht="16.5" thickTop="1" thickBot="1" x14ac:dyDescent="0.3">
      <c r="B27" s="16" t="str">
        <f>IF(ISBLANK(C27),"",SUBTOTAL(3, $C$3:C27))</f>
        <v/>
      </c>
      <c r="C27" s="32"/>
      <c r="D27" s="17"/>
      <c r="E27" s="18"/>
      <c r="F27" s="18"/>
      <c r="G27" s="18"/>
      <c r="H27" s="45" t="str">
        <f>IF(ISBLANK(ElOverlogu11[[#This Row],[Adı Soyadı]]),"",VLOOKUP(ElOverlogu11[[#This Row],[En]],Fiyat[[Ölçü]:[Birim Fiyatı]],2,0))</f>
        <v/>
      </c>
      <c r="I27" s="45" t="str">
        <f>IF(ISBLANK(ElOverlogu11[[#This Row],[En]]),"",(ElOverlogu11[[#This Row],[En]])*ElOverlogu11[[#This Row],[ADET]]*2*ElOverlogu11[[#This Row],[BİRİM FİYAT]]/100)</f>
        <v/>
      </c>
      <c r="J27" s="46" t="str">
        <f>IF(ISBLANK(ElOverlogu11[[#This Row],[En]]),"",SUMIF(ElOverlogu11[Adı Soyadı],ElOverlogu11[[#This Row],[Adı Soyadı]],ElOverlogu11[TUTAR]))</f>
        <v/>
      </c>
    </row>
    <row r="28" spans="2:10" ht="16.5" thickTop="1" thickBot="1" x14ac:dyDescent="0.3">
      <c r="B28" s="16" t="str">
        <f>IF(ISBLANK(C28),"",SUBTOTAL(3, $C$3:C28))</f>
        <v/>
      </c>
      <c r="C28" s="32"/>
      <c r="D28" s="17"/>
      <c r="E28" s="18"/>
      <c r="F28" s="18"/>
      <c r="G28" s="18"/>
      <c r="H28" s="45" t="str">
        <f>IF(ISBLANK(ElOverlogu11[[#This Row],[Adı Soyadı]]),"",VLOOKUP(ElOverlogu11[[#This Row],[En]],Fiyat[[Ölçü]:[Birim Fiyatı]],2,0))</f>
        <v/>
      </c>
      <c r="I28" s="45" t="str">
        <f>IF(ISBLANK(ElOverlogu11[[#This Row],[En]]),"",(ElOverlogu11[[#This Row],[En]])*ElOverlogu11[[#This Row],[ADET]]*2*ElOverlogu11[[#This Row],[BİRİM FİYAT]]/100)</f>
        <v/>
      </c>
      <c r="J28" s="46" t="str">
        <f>IF(ISBLANK(ElOverlogu11[[#This Row],[En]]),"",SUMIF(ElOverlogu11[Adı Soyadı],ElOverlogu11[[#This Row],[Adı Soyadı]],ElOverlogu11[TUTAR]))</f>
        <v/>
      </c>
    </row>
    <row r="29" spans="2:10" ht="16.5" thickTop="1" thickBot="1" x14ac:dyDescent="0.3">
      <c r="B29" s="16" t="str">
        <f>IF(ISBLANK(C29),"",SUBTOTAL(3, $C$3:C29))</f>
        <v/>
      </c>
      <c r="C29" s="32"/>
      <c r="D29" s="17"/>
      <c r="E29" s="18"/>
      <c r="F29" s="18"/>
      <c r="G29" s="18"/>
      <c r="H29" s="45" t="str">
        <f>IF(ISBLANK(ElOverlogu11[[#This Row],[Adı Soyadı]]),"",VLOOKUP(ElOverlogu11[[#This Row],[En]],Fiyat[[Ölçü]:[Birim Fiyatı]],2,0))</f>
        <v/>
      </c>
      <c r="I29" s="45" t="str">
        <f>IF(ISBLANK(ElOverlogu11[[#This Row],[En]]),"",(ElOverlogu11[[#This Row],[En]])*ElOverlogu11[[#This Row],[ADET]]*2*ElOverlogu11[[#This Row],[BİRİM FİYAT]]/100)</f>
        <v/>
      </c>
      <c r="J29" s="46" t="str">
        <f>IF(ISBLANK(ElOverlogu11[[#This Row],[En]]),"",SUMIF(ElOverlogu11[Adı Soyadı],ElOverlogu11[[#This Row],[Adı Soyadı]],ElOverlogu11[TUTAR]))</f>
        <v/>
      </c>
    </row>
    <row r="30" spans="2:10" ht="16.5" thickTop="1" thickBot="1" x14ac:dyDescent="0.3">
      <c r="B30" s="16" t="str">
        <f>IF(ISBLANK(C30),"",SUBTOTAL(3, $C$3:C30))</f>
        <v/>
      </c>
      <c r="C30" s="32"/>
      <c r="D30" s="17"/>
      <c r="E30" s="18"/>
      <c r="F30" s="18"/>
      <c r="G30" s="18"/>
      <c r="H30" s="45" t="str">
        <f>IF(ISBLANK(ElOverlogu11[[#This Row],[Adı Soyadı]]),"",VLOOKUP(ElOverlogu11[[#This Row],[En]],Fiyat[[Ölçü]:[Birim Fiyatı]],2,0))</f>
        <v/>
      </c>
      <c r="I30" s="45" t="str">
        <f>IF(ISBLANK(ElOverlogu11[[#This Row],[En]]),"",(ElOverlogu11[[#This Row],[En]])*ElOverlogu11[[#This Row],[ADET]]*2*ElOverlogu11[[#This Row],[BİRİM FİYAT]]/100)</f>
        <v/>
      </c>
      <c r="J30" s="46" t="str">
        <f>IF(ISBLANK(ElOverlogu11[[#This Row],[En]]),"",SUMIF(ElOverlogu11[Adı Soyadı],ElOverlogu11[[#This Row],[Adı Soyadı]],ElOverlogu11[TUTAR]))</f>
        <v/>
      </c>
    </row>
    <row r="31" spans="2:10" ht="16.5" thickTop="1" thickBot="1" x14ac:dyDescent="0.3">
      <c r="B31" s="16" t="str">
        <f>IF(ISBLANK(C31),"",SUBTOTAL(3, $C$3:C31))</f>
        <v/>
      </c>
      <c r="C31" s="32"/>
      <c r="D31" s="17"/>
      <c r="E31" s="18"/>
      <c r="F31" s="18"/>
      <c r="G31" s="18"/>
      <c r="H31" s="45" t="str">
        <f>IF(ISBLANK(ElOverlogu11[[#This Row],[Adı Soyadı]]),"",VLOOKUP(ElOverlogu11[[#This Row],[En]],Fiyat[[Ölçü]:[Birim Fiyatı]],2,0))</f>
        <v/>
      </c>
      <c r="I31" s="45" t="str">
        <f>IF(ISBLANK(ElOverlogu11[[#This Row],[En]]),"",(ElOverlogu11[[#This Row],[En]])*ElOverlogu11[[#This Row],[ADET]]*2*ElOverlogu11[[#This Row],[BİRİM FİYAT]]/100)</f>
        <v/>
      </c>
      <c r="J31" s="46" t="str">
        <f>IF(ISBLANK(ElOverlogu11[[#This Row],[En]]),"",SUMIF(ElOverlogu11[Adı Soyadı],ElOverlogu11[[#This Row],[Adı Soyadı]],ElOverlogu11[TUTAR]))</f>
        <v/>
      </c>
    </row>
    <row r="32" spans="2:10" ht="16.5" thickTop="1" thickBot="1" x14ac:dyDescent="0.3">
      <c r="B32" s="16" t="str">
        <f>IF(ISBLANK(C32),"",SUBTOTAL(3, $C$3:C32))</f>
        <v/>
      </c>
      <c r="C32" s="32"/>
      <c r="D32" s="17"/>
      <c r="E32" s="18"/>
      <c r="F32" s="18"/>
      <c r="G32" s="18"/>
      <c r="H32" s="45" t="str">
        <f>IF(ISBLANK(ElOverlogu11[[#This Row],[Adı Soyadı]]),"",VLOOKUP(ElOverlogu11[[#This Row],[En]],Fiyat[[Ölçü]:[Birim Fiyatı]],2,0))</f>
        <v/>
      </c>
      <c r="I32" s="45" t="str">
        <f>IF(ISBLANK(ElOverlogu11[[#This Row],[En]]),"",(ElOverlogu11[[#This Row],[En]])*ElOverlogu11[[#This Row],[ADET]]*2*ElOverlogu11[[#This Row],[BİRİM FİYAT]]/100)</f>
        <v/>
      </c>
      <c r="J32" s="46" t="str">
        <f>IF(ISBLANK(ElOverlogu11[[#This Row],[En]]),"",SUMIF(ElOverlogu11[Adı Soyadı],ElOverlogu11[[#This Row],[Adı Soyadı]],ElOverlogu11[TUTAR]))</f>
        <v/>
      </c>
    </row>
    <row r="33" spans="2:10" ht="16.5" thickTop="1" thickBot="1" x14ac:dyDescent="0.3">
      <c r="B33" s="16" t="str">
        <f>IF(ISBLANK(C33),"",SUBTOTAL(3, $C$3:C33))</f>
        <v/>
      </c>
      <c r="C33" s="32"/>
      <c r="D33" s="17"/>
      <c r="E33" s="18"/>
      <c r="F33" s="18"/>
      <c r="G33" s="18"/>
      <c r="H33" s="45" t="str">
        <f>IF(ISBLANK(ElOverlogu11[[#This Row],[Adı Soyadı]]),"",VLOOKUP(ElOverlogu11[[#This Row],[En]],Fiyat[[Ölçü]:[Birim Fiyatı]],2,0))</f>
        <v/>
      </c>
      <c r="I33" s="45" t="str">
        <f>IF(ISBLANK(ElOverlogu11[[#This Row],[En]]),"",(ElOverlogu11[[#This Row],[En]])*ElOverlogu11[[#This Row],[ADET]]*2*ElOverlogu11[[#This Row],[BİRİM FİYAT]]/100)</f>
        <v/>
      </c>
      <c r="J33" s="46" t="str">
        <f>IF(ISBLANK(ElOverlogu11[[#This Row],[En]]),"",SUMIF(ElOverlogu11[Adı Soyadı],ElOverlogu11[[#This Row],[Adı Soyadı]],ElOverlogu11[TUTAR]))</f>
        <v/>
      </c>
    </row>
    <row r="34" spans="2:10" ht="16.5" thickTop="1" thickBot="1" x14ac:dyDescent="0.3">
      <c r="B34" s="16" t="str">
        <f>IF(ISBLANK(C34),"",SUBTOTAL(3, $C$3:C34))</f>
        <v/>
      </c>
      <c r="C34" s="32"/>
      <c r="D34" s="17"/>
      <c r="E34" s="18"/>
      <c r="F34" s="18"/>
      <c r="G34" s="18"/>
      <c r="H34" s="45" t="str">
        <f>IF(ISBLANK(ElOverlogu11[[#This Row],[Adı Soyadı]]),"",VLOOKUP(ElOverlogu11[[#This Row],[En]],Fiyat[[Ölçü]:[Birim Fiyatı]],2,0))</f>
        <v/>
      </c>
      <c r="I34" s="45" t="str">
        <f>IF(ISBLANK(ElOverlogu11[[#This Row],[En]]),"",(ElOverlogu11[[#This Row],[En]])*ElOverlogu11[[#This Row],[ADET]]*2*ElOverlogu11[[#This Row],[BİRİM FİYAT]]/100)</f>
        <v/>
      </c>
      <c r="J34" s="46" t="str">
        <f>IF(ISBLANK(ElOverlogu11[[#This Row],[En]]),"",SUMIF(ElOverlogu11[Adı Soyadı],ElOverlogu11[[#This Row],[Adı Soyadı]],ElOverlogu11[TUTAR]))</f>
        <v/>
      </c>
    </row>
    <row r="35" spans="2:10" ht="16.5" thickTop="1" thickBot="1" x14ac:dyDescent="0.3">
      <c r="B35" s="16" t="str">
        <f>IF(ISBLANK(C35),"",SUBTOTAL(3, $C$3:C35))</f>
        <v/>
      </c>
      <c r="C35" s="32"/>
      <c r="D35" s="17"/>
      <c r="E35" s="18"/>
      <c r="F35" s="18"/>
      <c r="G35" s="18"/>
      <c r="H35" s="45" t="str">
        <f>IF(ISBLANK(ElOverlogu11[[#This Row],[Adı Soyadı]]),"",VLOOKUP(ElOverlogu11[[#This Row],[En]],Fiyat[[Ölçü]:[Birim Fiyatı]],2,0))</f>
        <v/>
      </c>
      <c r="I35" s="45" t="str">
        <f>IF(ISBLANK(ElOverlogu11[[#This Row],[En]]),"",(ElOverlogu11[[#This Row],[En]])*ElOverlogu11[[#This Row],[ADET]]*2*ElOverlogu11[[#This Row],[BİRİM FİYAT]]/100)</f>
        <v/>
      </c>
      <c r="J35" s="46" t="str">
        <f>IF(ISBLANK(ElOverlogu11[[#This Row],[En]]),"",SUMIF(ElOverlogu11[Adı Soyadı],ElOverlogu11[[#This Row],[Adı Soyadı]],ElOverlogu11[TUTAR]))</f>
        <v/>
      </c>
    </row>
    <row r="36" spans="2:10" ht="16.5" thickTop="1" thickBot="1" x14ac:dyDescent="0.3">
      <c r="B36" s="16" t="str">
        <f>IF(ISBLANK(C36),"",SUBTOTAL(3, $C$3:C36))</f>
        <v/>
      </c>
      <c r="C36" s="32"/>
      <c r="D36" s="17"/>
      <c r="E36" s="18"/>
      <c r="F36" s="18"/>
      <c r="G36" s="18"/>
      <c r="H36" s="45" t="str">
        <f>IF(ISBLANK(ElOverlogu11[[#This Row],[Adı Soyadı]]),"",VLOOKUP(ElOverlogu11[[#This Row],[En]],Fiyat[[Ölçü]:[Birim Fiyatı]],2,0))</f>
        <v/>
      </c>
      <c r="I36" s="45" t="str">
        <f>IF(ISBLANK(ElOverlogu11[[#This Row],[En]]),"",(ElOverlogu11[[#This Row],[En]])*ElOverlogu11[[#This Row],[ADET]]*2*ElOverlogu11[[#This Row],[BİRİM FİYAT]]/100)</f>
        <v/>
      </c>
      <c r="J36" s="46" t="str">
        <f>IF(ISBLANK(ElOverlogu11[[#This Row],[En]]),"",SUMIF(ElOverlogu11[Adı Soyadı],ElOverlogu11[[#This Row],[Adı Soyadı]],ElOverlogu11[TUTAR]))</f>
        <v/>
      </c>
    </row>
    <row r="37" spans="2:10" ht="16.5" thickTop="1" thickBot="1" x14ac:dyDescent="0.3">
      <c r="B37" s="16" t="str">
        <f>IF(ISBLANK(C37),"",SUBTOTAL(3, $C$3:C37))</f>
        <v/>
      </c>
      <c r="C37" s="32"/>
      <c r="D37" s="17"/>
      <c r="E37" s="18"/>
      <c r="F37" s="18"/>
      <c r="G37" s="18"/>
      <c r="H37" s="45" t="str">
        <f>IF(ISBLANK(ElOverlogu11[[#This Row],[Adı Soyadı]]),"",VLOOKUP(ElOverlogu11[[#This Row],[En]],Fiyat[[Ölçü]:[Birim Fiyatı]],2,0))</f>
        <v/>
      </c>
      <c r="I37" s="45" t="str">
        <f>IF(ISBLANK(ElOverlogu11[[#This Row],[En]]),"",(ElOverlogu11[[#This Row],[En]])*ElOverlogu11[[#This Row],[ADET]]*2*ElOverlogu11[[#This Row],[BİRİM FİYAT]]/100)</f>
        <v/>
      </c>
      <c r="J37" s="46" t="str">
        <f>IF(ISBLANK(ElOverlogu11[[#This Row],[En]]),"",SUMIF(ElOverlogu11[Adı Soyadı],ElOverlogu11[[#This Row],[Adı Soyadı]],ElOverlogu11[TUTAR]))</f>
        <v/>
      </c>
    </row>
    <row r="38" spans="2:10" ht="16.5" thickTop="1" thickBot="1" x14ac:dyDescent="0.3">
      <c r="B38" s="16" t="str">
        <f>IF(ISBLANK(C38),"",SUBTOTAL(3, $C$3:C38))</f>
        <v/>
      </c>
      <c r="C38" s="32"/>
      <c r="D38" s="17"/>
      <c r="E38" s="18"/>
      <c r="F38" s="18"/>
      <c r="G38" s="18"/>
      <c r="H38" s="45" t="str">
        <f>IF(ISBLANK(ElOverlogu11[[#This Row],[Adı Soyadı]]),"",VLOOKUP(ElOverlogu11[[#This Row],[En]],Fiyat[[Ölçü]:[Birim Fiyatı]],2,0))</f>
        <v/>
      </c>
      <c r="I38" s="45" t="str">
        <f>IF(ISBLANK(ElOverlogu11[[#This Row],[En]]),"",(ElOverlogu11[[#This Row],[En]])*ElOverlogu11[[#This Row],[ADET]]*2*ElOverlogu11[[#This Row],[BİRİM FİYAT]]/100)</f>
        <v/>
      </c>
      <c r="J38" s="46" t="str">
        <f>IF(ISBLANK(ElOverlogu11[[#This Row],[En]]),"",SUMIF(ElOverlogu11[Adı Soyadı],ElOverlogu11[[#This Row],[Adı Soyadı]],ElOverlogu11[TUTAR]))</f>
        <v/>
      </c>
    </row>
    <row r="39" spans="2:10" ht="16.5" thickTop="1" thickBot="1" x14ac:dyDescent="0.3">
      <c r="B39" s="16" t="str">
        <f>IF(ISBLANK(C39),"",SUBTOTAL(3, $C$3:C39))</f>
        <v/>
      </c>
      <c r="C39" s="32"/>
      <c r="D39" s="17"/>
      <c r="E39" s="18"/>
      <c r="F39" s="18"/>
      <c r="G39" s="18"/>
      <c r="H39" s="45" t="str">
        <f>IF(ISBLANK(ElOverlogu11[[#This Row],[Adı Soyadı]]),"",VLOOKUP(ElOverlogu11[[#This Row],[En]],Fiyat[[Ölçü]:[Birim Fiyatı]],2,0))</f>
        <v/>
      </c>
      <c r="I39" s="45" t="str">
        <f>IF(ISBLANK(ElOverlogu11[[#This Row],[En]]),"",(ElOverlogu11[[#This Row],[En]])*ElOverlogu11[[#This Row],[ADET]]*2*ElOverlogu11[[#This Row],[BİRİM FİYAT]]/100)</f>
        <v/>
      </c>
      <c r="J39" s="46" t="str">
        <f>IF(ISBLANK(ElOverlogu11[[#This Row],[En]]),"",SUMIF(ElOverlogu11[Adı Soyadı],ElOverlogu11[[#This Row],[Adı Soyadı]],ElOverlogu11[TUTAR]))</f>
        <v/>
      </c>
    </row>
    <row r="40" spans="2:10" ht="16.5" thickTop="1" thickBot="1" x14ac:dyDescent="0.3">
      <c r="B40" s="16" t="str">
        <f>IF(ISBLANK(C40),"",SUBTOTAL(3, $C$3:C40))</f>
        <v/>
      </c>
      <c r="C40" s="32"/>
      <c r="D40" s="17"/>
      <c r="E40" s="18"/>
      <c r="F40" s="18"/>
      <c r="G40" s="18"/>
      <c r="H40" s="45" t="str">
        <f>IF(ISBLANK(ElOverlogu11[[#This Row],[Adı Soyadı]]),"",VLOOKUP(ElOverlogu11[[#This Row],[En]],Fiyat[[Ölçü]:[Birim Fiyatı]],2,0))</f>
        <v/>
      </c>
      <c r="I40" s="45" t="str">
        <f>IF(ISBLANK(ElOverlogu11[[#This Row],[En]]),"",(ElOverlogu11[[#This Row],[En]])*ElOverlogu11[[#This Row],[ADET]]*2*ElOverlogu11[[#This Row],[BİRİM FİYAT]]/100)</f>
        <v/>
      </c>
      <c r="J40" s="46" t="str">
        <f>IF(ISBLANK(ElOverlogu11[[#This Row],[En]]),"",SUMIF(ElOverlogu11[Adı Soyadı],ElOverlogu11[[#This Row],[Adı Soyadı]],ElOverlogu11[TUTAR]))</f>
        <v/>
      </c>
    </row>
    <row r="41" spans="2:10" ht="16.5" thickTop="1" thickBot="1" x14ac:dyDescent="0.3">
      <c r="B41" s="16" t="str">
        <f>IF(ISBLANK(C41),"",SUBTOTAL(3, $C$3:C41))</f>
        <v/>
      </c>
      <c r="C41" s="32"/>
      <c r="D41" s="17"/>
      <c r="E41" s="18"/>
      <c r="F41" s="18"/>
      <c r="G41" s="18"/>
      <c r="H41" s="45" t="str">
        <f>IF(ISBLANK(ElOverlogu11[[#This Row],[Adı Soyadı]]),"",VLOOKUP(ElOverlogu11[[#This Row],[En]],Fiyat[[Ölçü]:[Birim Fiyatı]],2,0))</f>
        <v/>
      </c>
      <c r="I41" s="45" t="str">
        <f>IF(ISBLANK(ElOverlogu11[[#This Row],[En]]),"",(ElOverlogu11[[#This Row],[En]])*ElOverlogu11[[#This Row],[ADET]]*2*ElOverlogu11[[#This Row],[BİRİM FİYAT]]/100)</f>
        <v/>
      </c>
      <c r="J41" s="46" t="str">
        <f>IF(ISBLANK(ElOverlogu11[[#This Row],[En]]),"",SUMIF(ElOverlogu11[Adı Soyadı],ElOverlogu11[[#This Row],[Adı Soyadı]],ElOverlogu11[TUTAR]))</f>
        <v/>
      </c>
    </row>
    <row r="42" spans="2:10" ht="16.5" thickTop="1" thickBot="1" x14ac:dyDescent="0.3">
      <c r="B42" s="16" t="str">
        <f>IF(ISBLANK(C42),"",SUBTOTAL(3, $C$3:C42))</f>
        <v/>
      </c>
      <c r="C42" s="32"/>
      <c r="D42" s="17"/>
      <c r="E42" s="18"/>
      <c r="F42" s="18"/>
      <c r="G42" s="18"/>
      <c r="H42" s="45" t="str">
        <f>IF(ISBLANK(ElOverlogu11[[#This Row],[Adı Soyadı]]),"",VLOOKUP(ElOverlogu11[[#This Row],[En]],Fiyat[[Ölçü]:[Birim Fiyatı]],2,0))</f>
        <v/>
      </c>
      <c r="I42" s="45" t="str">
        <f>IF(ISBLANK(ElOverlogu11[[#This Row],[En]]),"",(ElOverlogu11[[#This Row],[En]])*ElOverlogu11[[#This Row],[ADET]]*2*ElOverlogu11[[#This Row],[BİRİM FİYAT]]/100)</f>
        <v/>
      </c>
      <c r="J42" s="46" t="str">
        <f>IF(ISBLANK(ElOverlogu11[[#This Row],[En]]),"",SUMIF(ElOverlogu11[Adı Soyadı],ElOverlogu11[[#This Row],[Adı Soyadı]],ElOverlogu11[TUTAR]))</f>
        <v/>
      </c>
    </row>
    <row r="43" spans="2:10" ht="16.5" thickTop="1" thickBot="1" x14ac:dyDescent="0.3">
      <c r="B43" s="16" t="str">
        <f>IF(ISBLANK(C43),"",SUBTOTAL(3, $C$3:C43))</f>
        <v/>
      </c>
      <c r="C43" s="32"/>
      <c r="D43" s="17"/>
      <c r="E43" s="18"/>
      <c r="F43" s="18"/>
      <c r="G43" s="18"/>
      <c r="H43" s="45" t="str">
        <f>IF(ISBLANK(ElOverlogu11[[#This Row],[Adı Soyadı]]),"",VLOOKUP(ElOverlogu11[[#This Row],[En]],Fiyat[[Ölçü]:[Birim Fiyatı]],2,0))</f>
        <v/>
      </c>
      <c r="I43" s="45" t="str">
        <f>IF(ISBLANK(ElOverlogu11[[#This Row],[En]]),"",(ElOverlogu11[[#This Row],[En]])*ElOverlogu11[[#This Row],[ADET]]*2*ElOverlogu11[[#This Row],[BİRİM FİYAT]]/100)</f>
        <v/>
      </c>
      <c r="J43" s="46" t="str">
        <f>IF(ISBLANK(ElOverlogu11[[#This Row],[En]]),"",SUMIF(ElOverlogu11[Adı Soyadı],ElOverlogu11[[#This Row],[Adı Soyadı]],ElOverlogu11[TUTAR]))</f>
        <v/>
      </c>
    </row>
    <row r="44" spans="2:10" ht="16.5" thickTop="1" thickBot="1" x14ac:dyDescent="0.3">
      <c r="B44" s="16" t="str">
        <f>IF(ISBLANK(C44),"",SUBTOTAL(3, $C$3:C44))</f>
        <v/>
      </c>
      <c r="C44" s="32"/>
      <c r="D44" s="17"/>
      <c r="E44" s="18"/>
      <c r="F44" s="18"/>
      <c r="G44" s="18"/>
      <c r="H44" s="45" t="str">
        <f>IF(ISBLANK(ElOverlogu11[[#This Row],[Adı Soyadı]]),"",VLOOKUP(ElOverlogu11[[#This Row],[En]],Fiyat[[Ölçü]:[Birim Fiyatı]],2,0))</f>
        <v/>
      </c>
      <c r="I44" s="45" t="str">
        <f>IF(ISBLANK(ElOverlogu11[[#This Row],[En]]),"",(ElOverlogu11[[#This Row],[En]])*ElOverlogu11[[#This Row],[ADET]]*2*ElOverlogu11[[#This Row],[BİRİM FİYAT]]/100)</f>
        <v/>
      </c>
      <c r="J44" s="46" t="str">
        <f>IF(ISBLANK(ElOverlogu11[[#This Row],[En]]),"",SUMIF(ElOverlogu11[Adı Soyadı],ElOverlogu11[[#This Row],[Adı Soyadı]],ElOverlogu11[TUTAR]))</f>
        <v/>
      </c>
    </row>
    <row r="45" spans="2:10" ht="16.5" thickTop="1" thickBot="1" x14ac:dyDescent="0.3">
      <c r="B45" s="16" t="str">
        <f>IF(ISBLANK(C45),"",SUBTOTAL(3, $C$3:C45))</f>
        <v/>
      </c>
      <c r="C45" s="32"/>
      <c r="D45" s="17"/>
      <c r="E45" s="18"/>
      <c r="F45" s="18"/>
      <c r="G45" s="18"/>
      <c r="H45" s="45" t="str">
        <f>IF(ISBLANK(ElOverlogu11[[#This Row],[Adı Soyadı]]),"",VLOOKUP(ElOverlogu11[[#This Row],[En]],Fiyat[[Ölçü]:[Birim Fiyatı]],2,0))</f>
        <v/>
      </c>
      <c r="I45" s="45" t="str">
        <f>IF(ISBLANK(ElOverlogu11[[#This Row],[En]]),"",(ElOverlogu11[[#This Row],[En]])*ElOverlogu11[[#This Row],[ADET]]*2*ElOverlogu11[[#This Row],[BİRİM FİYAT]]/100)</f>
        <v/>
      </c>
      <c r="J45" s="46" t="str">
        <f>IF(ISBLANK(ElOverlogu11[[#This Row],[En]]),"",SUMIF(ElOverlogu11[Adı Soyadı],ElOverlogu11[[#This Row],[Adı Soyadı]],ElOverlogu11[TUTAR]))</f>
        <v/>
      </c>
    </row>
    <row r="46" spans="2:10" ht="16.5" thickTop="1" thickBot="1" x14ac:dyDescent="0.3">
      <c r="B46" s="16" t="str">
        <f>IF(ISBLANK(C46),"",SUBTOTAL(3, $C$3:C46))</f>
        <v/>
      </c>
      <c r="C46" s="32"/>
      <c r="D46" s="17"/>
      <c r="E46" s="18"/>
      <c r="F46" s="18"/>
      <c r="G46" s="18"/>
      <c r="H46" s="45" t="str">
        <f>IF(ISBLANK(ElOverlogu11[[#This Row],[Adı Soyadı]]),"",VLOOKUP(ElOverlogu11[[#This Row],[En]],Fiyat[[Ölçü]:[Birim Fiyatı]],2,0))</f>
        <v/>
      </c>
      <c r="I46" s="45" t="str">
        <f>IF(ISBLANK(ElOverlogu11[[#This Row],[En]]),"",(ElOverlogu11[[#This Row],[En]])*ElOverlogu11[[#This Row],[ADET]]*2*ElOverlogu11[[#This Row],[BİRİM FİYAT]]/100)</f>
        <v/>
      </c>
      <c r="J46" s="46" t="str">
        <f>IF(ISBLANK(ElOverlogu11[[#This Row],[En]]),"",SUMIF(ElOverlogu11[Adı Soyadı],ElOverlogu11[[#This Row],[Adı Soyadı]],ElOverlogu11[TUTAR]))</f>
        <v/>
      </c>
    </row>
    <row r="47" spans="2:10" ht="16.5" thickTop="1" thickBot="1" x14ac:dyDescent="0.3">
      <c r="B47" s="16" t="str">
        <f>IF(ISBLANK(C47),"",SUBTOTAL(3, $C$3:C47))</f>
        <v/>
      </c>
      <c r="C47" s="32"/>
      <c r="D47" s="17"/>
      <c r="E47" s="18"/>
      <c r="F47" s="18"/>
      <c r="G47" s="18"/>
      <c r="H47" s="45" t="str">
        <f>IF(ISBLANK(ElOverlogu11[[#This Row],[Adı Soyadı]]),"",VLOOKUP(ElOverlogu11[[#This Row],[En]],Fiyat[[Ölçü]:[Birim Fiyatı]],2,0))</f>
        <v/>
      </c>
      <c r="I47" s="45" t="str">
        <f>IF(ISBLANK(ElOverlogu11[[#This Row],[En]]),"",(ElOverlogu11[[#This Row],[En]])*ElOverlogu11[[#This Row],[ADET]]*2*ElOverlogu11[[#This Row],[BİRİM FİYAT]]/100)</f>
        <v/>
      </c>
      <c r="J47" s="46" t="str">
        <f>IF(ISBLANK(ElOverlogu11[[#This Row],[En]]),"",SUMIF(ElOverlogu11[Adı Soyadı],ElOverlogu11[[#This Row],[Adı Soyadı]],ElOverlogu11[TUTAR]))</f>
        <v/>
      </c>
    </row>
    <row r="48" spans="2:10" ht="16.5" thickTop="1" thickBot="1" x14ac:dyDescent="0.3">
      <c r="B48" s="16" t="str">
        <f>IF(ISBLANK(C48),"",SUBTOTAL(3, $C$3:C48))</f>
        <v/>
      </c>
      <c r="C48" s="32"/>
      <c r="D48" s="17"/>
      <c r="E48" s="18"/>
      <c r="F48" s="18"/>
      <c r="G48" s="18"/>
      <c r="H48" s="45" t="str">
        <f>IF(ISBLANK(ElOverlogu11[[#This Row],[Adı Soyadı]]),"",VLOOKUP(ElOverlogu11[[#This Row],[En]],Fiyat[[Ölçü]:[Birim Fiyatı]],2,0))</f>
        <v/>
      </c>
      <c r="I48" s="45" t="str">
        <f>IF(ISBLANK(ElOverlogu11[[#This Row],[En]]),"",(ElOverlogu11[[#This Row],[En]])*ElOverlogu11[[#This Row],[ADET]]*2*ElOverlogu11[[#This Row],[BİRİM FİYAT]]/100)</f>
        <v/>
      </c>
      <c r="J48" s="46" t="str">
        <f>IF(ISBLANK(ElOverlogu11[[#This Row],[En]]),"",SUMIF(ElOverlogu11[Adı Soyadı],ElOverlogu11[[#This Row],[Adı Soyadı]],ElOverlogu11[TUTAR]))</f>
        <v/>
      </c>
    </row>
    <row r="49" spans="2:10" ht="16.5" thickTop="1" thickBot="1" x14ac:dyDescent="0.3">
      <c r="B49" s="16" t="str">
        <f>IF(ISBLANK(C49),"",SUBTOTAL(3, $C$3:C49))</f>
        <v/>
      </c>
      <c r="C49" s="32"/>
      <c r="D49" s="17"/>
      <c r="E49" s="18"/>
      <c r="F49" s="18"/>
      <c r="G49" s="18"/>
      <c r="H49" s="45" t="str">
        <f>IF(ISBLANK(ElOverlogu11[[#This Row],[Adı Soyadı]]),"",VLOOKUP(ElOverlogu11[[#This Row],[En]],Fiyat[[Ölçü]:[Birim Fiyatı]],2,0))</f>
        <v/>
      </c>
      <c r="I49" s="45" t="str">
        <f>IF(ISBLANK(ElOverlogu11[[#This Row],[En]]),"",(ElOverlogu11[[#This Row],[En]])*ElOverlogu11[[#This Row],[ADET]]*2*ElOverlogu11[[#This Row],[BİRİM FİYAT]]/100)</f>
        <v/>
      </c>
      <c r="J49" s="46" t="str">
        <f>IF(ISBLANK(ElOverlogu11[[#This Row],[En]]),"",SUMIF(ElOverlogu11[Adı Soyadı],ElOverlogu11[[#This Row],[Adı Soyadı]],ElOverlogu11[TUTAR]))</f>
        <v/>
      </c>
    </row>
    <row r="50" spans="2:10" ht="16.5" thickTop="1" thickBot="1" x14ac:dyDescent="0.3">
      <c r="B50" s="16" t="str">
        <f>IF(ISBLANK(C50),"",SUBTOTAL(3, $C$3:C50))</f>
        <v/>
      </c>
      <c r="C50" s="32"/>
      <c r="D50" s="17"/>
      <c r="E50" s="18"/>
      <c r="F50" s="18"/>
      <c r="G50" s="18"/>
      <c r="H50" s="45" t="str">
        <f>IF(ISBLANK(ElOverlogu11[[#This Row],[Adı Soyadı]]),"",VLOOKUP(ElOverlogu11[[#This Row],[En]],Fiyat[[Ölçü]:[Birim Fiyatı]],2,0))</f>
        <v/>
      </c>
      <c r="I50" s="45" t="str">
        <f>IF(ISBLANK(ElOverlogu11[[#This Row],[En]]),"",(ElOverlogu11[[#This Row],[En]])*ElOverlogu11[[#This Row],[ADET]]*2*ElOverlogu11[[#This Row],[BİRİM FİYAT]]/100)</f>
        <v/>
      </c>
      <c r="J50" s="46" t="str">
        <f>IF(ISBLANK(ElOverlogu11[[#This Row],[En]]),"",SUMIF(ElOverlogu11[Adı Soyadı],ElOverlogu11[[#This Row],[Adı Soyadı]],ElOverlogu11[TUTAR]))</f>
        <v/>
      </c>
    </row>
    <row r="51" spans="2:10" ht="16.5" thickTop="1" thickBot="1" x14ac:dyDescent="0.3">
      <c r="B51" s="16" t="str">
        <f>IF(ISBLANK(C51),"",SUBTOTAL(3, $C$3:C51))</f>
        <v/>
      </c>
      <c r="C51" s="32"/>
      <c r="D51" s="17"/>
      <c r="E51" s="18"/>
      <c r="F51" s="18"/>
      <c r="G51" s="18"/>
      <c r="H51" s="45" t="str">
        <f>IF(ISBLANK(ElOverlogu11[[#This Row],[Adı Soyadı]]),"",VLOOKUP(ElOverlogu11[[#This Row],[En]],Fiyat[[Ölçü]:[Birim Fiyatı]],2,0))</f>
        <v/>
      </c>
      <c r="I51" s="45" t="str">
        <f>IF(ISBLANK(ElOverlogu11[[#This Row],[En]]),"",(ElOverlogu11[[#This Row],[En]])*ElOverlogu11[[#This Row],[ADET]]*2*ElOverlogu11[[#This Row],[BİRİM FİYAT]]/100)</f>
        <v/>
      </c>
      <c r="J51" s="46" t="str">
        <f>IF(ISBLANK(ElOverlogu11[[#This Row],[En]]),"",SUMIF(ElOverlogu11[Adı Soyadı],ElOverlogu11[[#This Row],[Adı Soyadı]],ElOverlogu11[TUTAR]))</f>
        <v/>
      </c>
    </row>
    <row r="52" spans="2:10" ht="16.5" thickTop="1" thickBot="1" x14ac:dyDescent="0.3">
      <c r="B52" s="16" t="str">
        <f>IF(ISBLANK(C52),"",SUBTOTAL(3, $C$3:C52))</f>
        <v/>
      </c>
      <c r="C52" s="32"/>
      <c r="D52" s="17"/>
      <c r="E52" s="18"/>
      <c r="F52" s="18"/>
      <c r="G52" s="18"/>
      <c r="H52" s="45" t="str">
        <f>IF(ISBLANK(ElOverlogu11[[#This Row],[Adı Soyadı]]),"",VLOOKUP(ElOverlogu11[[#This Row],[En]],Fiyat[[Ölçü]:[Birim Fiyatı]],2,0))</f>
        <v/>
      </c>
      <c r="I52" s="45" t="str">
        <f>IF(ISBLANK(ElOverlogu11[[#This Row],[En]]),"",(ElOverlogu11[[#This Row],[En]])*ElOverlogu11[[#This Row],[ADET]]*2*ElOverlogu11[[#This Row],[BİRİM FİYAT]]/100)</f>
        <v/>
      </c>
      <c r="J52" s="46" t="str">
        <f>IF(ISBLANK(ElOverlogu11[[#This Row],[En]]),"",SUMIF(ElOverlogu11[Adı Soyadı],ElOverlogu11[[#This Row],[Adı Soyadı]],ElOverlogu11[TUTAR]))</f>
        <v/>
      </c>
    </row>
    <row r="53" spans="2:10" ht="16.5" thickTop="1" thickBot="1" x14ac:dyDescent="0.3">
      <c r="B53" s="16" t="str">
        <f>IF(ISBLANK(C53),"",SUBTOTAL(3, $C$3:C53))</f>
        <v/>
      </c>
      <c r="C53" s="32"/>
      <c r="D53" s="17"/>
      <c r="E53" s="18"/>
      <c r="F53" s="18"/>
      <c r="G53" s="18"/>
      <c r="H53" s="45" t="str">
        <f>IF(ISBLANK(ElOverlogu11[[#This Row],[Adı Soyadı]]),"",VLOOKUP(ElOverlogu11[[#This Row],[En]],Fiyat[[Ölçü]:[Birim Fiyatı]],2,0))</f>
        <v/>
      </c>
      <c r="I53" s="45" t="str">
        <f>IF(ISBLANK(ElOverlogu11[[#This Row],[En]]),"",(ElOverlogu11[[#This Row],[En]])*ElOverlogu11[[#This Row],[ADET]]*2*ElOverlogu11[[#This Row],[BİRİM FİYAT]]/100)</f>
        <v/>
      </c>
      <c r="J53" s="46" t="str">
        <f>IF(ISBLANK(ElOverlogu11[[#This Row],[En]]),"",SUMIF(ElOverlogu11[Adı Soyadı],ElOverlogu11[[#This Row],[Adı Soyadı]],ElOverlogu11[TUTAR]))</f>
        <v/>
      </c>
    </row>
    <row r="54" spans="2:10" ht="16.5" thickTop="1" thickBot="1" x14ac:dyDescent="0.3">
      <c r="B54" s="16" t="str">
        <f>IF(ISBLANK(C54),"",SUBTOTAL(3, $C$3:C54))</f>
        <v/>
      </c>
      <c r="C54" s="32"/>
      <c r="D54" s="17"/>
      <c r="E54" s="18"/>
      <c r="F54" s="18"/>
      <c r="G54" s="18"/>
      <c r="H54" s="45" t="str">
        <f>IF(ISBLANK(ElOverlogu11[[#This Row],[Adı Soyadı]]),"",VLOOKUP(ElOverlogu11[[#This Row],[En]],Fiyat[[Ölçü]:[Birim Fiyatı]],2,0))</f>
        <v/>
      </c>
      <c r="I54" s="45" t="str">
        <f>IF(ISBLANK(ElOverlogu11[[#This Row],[En]]),"",(ElOverlogu11[[#This Row],[En]])*ElOverlogu11[[#This Row],[ADET]]*2*ElOverlogu11[[#This Row],[BİRİM FİYAT]]/100)</f>
        <v/>
      </c>
      <c r="J54" s="46" t="str">
        <f>IF(ISBLANK(ElOverlogu11[[#This Row],[En]]),"",SUMIF(ElOverlogu11[Adı Soyadı],ElOverlogu11[[#This Row],[Adı Soyadı]],ElOverlogu11[TUTAR]))</f>
        <v/>
      </c>
    </row>
    <row r="55" spans="2:10" ht="16.5" thickTop="1" thickBot="1" x14ac:dyDescent="0.3">
      <c r="B55" s="16" t="str">
        <f>IF(ISBLANK(C55),"",SUBTOTAL(3, $C$3:C55))</f>
        <v/>
      </c>
      <c r="C55" s="32"/>
      <c r="D55" s="17"/>
      <c r="E55" s="18"/>
      <c r="F55" s="18"/>
      <c r="G55" s="18"/>
      <c r="H55" s="45" t="str">
        <f>IF(ISBLANK(ElOverlogu11[[#This Row],[Adı Soyadı]]),"",VLOOKUP(ElOverlogu11[[#This Row],[En]],Fiyat[[Ölçü]:[Birim Fiyatı]],2,0))</f>
        <v/>
      </c>
      <c r="I55" s="45" t="str">
        <f>IF(ISBLANK(ElOverlogu11[[#This Row],[En]]),"",(ElOverlogu11[[#This Row],[En]])*ElOverlogu11[[#This Row],[ADET]]*2*ElOverlogu11[[#This Row],[BİRİM FİYAT]]/100)</f>
        <v/>
      </c>
      <c r="J55" s="46" t="str">
        <f>IF(ISBLANK(ElOverlogu11[[#This Row],[En]]),"",SUMIF(ElOverlogu11[Adı Soyadı],ElOverlogu11[[#This Row],[Adı Soyadı]],ElOverlogu11[TUTAR]))</f>
        <v/>
      </c>
    </row>
    <row r="56" spans="2:10" ht="16.5" thickTop="1" thickBot="1" x14ac:dyDescent="0.3">
      <c r="B56" s="16" t="str">
        <f>IF(ISBLANK(C56),"",SUBTOTAL(3, $C$3:C56))</f>
        <v/>
      </c>
      <c r="C56" s="32"/>
      <c r="D56" s="17"/>
      <c r="E56" s="18"/>
      <c r="F56" s="18"/>
      <c r="G56" s="18"/>
      <c r="H56" s="45" t="str">
        <f>IF(ISBLANK(ElOverlogu11[[#This Row],[Adı Soyadı]]),"",VLOOKUP(ElOverlogu11[[#This Row],[En]],Fiyat[[Ölçü]:[Birim Fiyatı]],2,0))</f>
        <v/>
      </c>
      <c r="I56" s="45" t="str">
        <f>IF(ISBLANK(ElOverlogu11[[#This Row],[En]]),"",(ElOverlogu11[[#This Row],[En]])*ElOverlogu11[[#This Row],[ADET]]*2*ElOverlogu11[[#This Row],[BİRİM FİYAT]]/100)</f>
        <v/>
      </c>
      <c r="J56" s="46" t="str">
        <f>IF(ISBLANK(ElOverlogu11[[#This Row],[En]]),"",SUMIF(ElOverlogu11[Adı Soyadı],ElOverlogu11[[#This Row],[Adı Soyadı]],ElOverlogu11[TUTAR]))</f>
        <v/>
      </c>
    </row>
    <row r="57" spans="2:10" ht="16.5" thickTop="1" thickBot="1" x14ac:dyDescent="0.3">
      <c r="B57" s="16" t="str">
        <f>IF(ISBLANK(C57),"",SUBTOTAL(3, $C$3:C57))</f>
        <v/>
      </c>
      <c r="C57" s="32"/>
      <c r="D57" s="17"/>
      <c r="E57" s="18"/>
      <c r="F57" s="18"/>
      <c r="G57" s="18"/>
      <c r="H57" s="45" t="str">
        <f>IF(ISBLANK(ElOverlogu11[[#This Row],[Adı Soyadı]]),"",VLOOKUP(ElOverlogu11[[#This Row],[En]],Fiyat[[Ölçü]:[Birim Fiyatı]],2,0))</f>
        <v/>
      </c>
      <c r="I57" s="45" t="str">
        <f>IF(ISBLANK(ElOverlogu11[[#This Row],[En]]),"",(ElOverlogu11[[#This Row],[En]])*ElOverlogu11[[#This Row],[ADET]]*2*ElOverlogu11[[#This Row],[BİRİM FİYAT]]/100)</f>
        <v/>
      </c>
      <c r="J57" s="46" t="str">
        <f>IF(ISBLANK(ElOverlogu11[[#This Row],[En]]),"",SUMIF(ElOverlogu11[Adı Soyadı],ElOverlogu11[[#This Row],[Adı Soyadı]],ElOverlogu11[TUTAR]))</f>
        <v/>
      </c>
    </row>
    <row r="58" spans="2:10" ht="16.5" thickTop="1" thickBot="1" x14ac:dyDescent="0.3">
      <c r="B58" s="16" t="str">
        <f>IF(ISBLANK(C58),"",SUBTOTAL(3, $C$3:C58))</f>
        <v/>
      </c>
      <c r="C58" s="32"/>
      <c r="D58" s="17"/>
      <c r="E58" s="18"/>
      <c r="F58" s="18"/>
      <c r="G58" s="18"/>
      <c r="H58" s="45" t="str">
        <f>IF(ISBLANK(ElOverlogu11[[#This Row],[Adı Soyadı]]),"",VLOOKUP(ElOverlogu11[[#This Row],[En]],Fiyat[[Ölçü]:[Birim Fiyatı]],2,0))</f>
        <v/>
      </c>
      <c r="I58" s="45" t="str">
        <f>IF(ISBLANK(ElOverlogu11[[#This Row],[En]]),"",(ElOverlogu11[[#This Row],[En]])*ElOverlogu11[[#This Row],[ADET]]*2*ElOverlogu11[[#This Row],[BİRİM FİYAT]]/100)</f>
        <v/>
      </c>
      <c r="J58" s="46" t="str">
        <f>IF(ISBLANK(ElOverlogu11[[#This Row],[En]]),"",SUMIF(ElOverlogu11[Adı Soyadı],ElOverlogu11[[#This Row],[Adı Soyadı]],ElOverlogu11[TUTAR]))</f>
        <v/>
      </c>
    </row>
    <row r="59" spans="2:10" ht="16.5" thickTop="1" thickBot="1" x14ac:dyDescent="0.3">
      <c r="B59" s="16" t="str">
        <f>IF(ISBLANK(C59),"",SUBTOTAL(3, $C$3:C59))</f>
        <v/>
      </c>
      <c r="C59" s="32"/>
      <c r="D59" s="17"/>
      <c r="E59" s="18"/>
      <c r="F59" s="18"/>
      <c r="G59" s="18"/>
      <c r="H59" s="45" t="str">
        <f>IF(ISBLANK(ElOverlogu11[[#This Row],[Adı Soyadı]]),"",VLOOKUP(ElOverlogu11[[#This Row],[En]],Fiyat[[Ölçü]:[Birim Fiyatı]],2,0))</f>
        <v/>
      </c>
      <c r="I59" s="45" t="str">
        <f>IF(ISBLANK(ElOverlogu11[[#This Row],[En]]),"",(ElOverlogu11[[#This Row],[En]])*ElOverlogu11[[#This Row],[ADET]]*2*ElOverlogu11[[#This Row],[BİRİM FİYAT]]/100)</f>
        <v/>
      </c>
      <c r="J59" s="46" t="str">
        <f>IF(ISBLANK(ElOverlogu11[[#This Row],[En]]),"",SUMIF(ElOverlogu11[Adı Soyadı],ElOverlogu11[[#This Row],[Adı Soyadı]],ElOverlogu11[TUTAR]))</f>
        <v/>
      </c>
    </row>
    <row r="60" spans="2:10" ht="16.5" thickTop="1" thickBot="1" x14ac:dyDescent="0.3">
      <c r="B60" s="16" t="str">
        <f>IF(ISBLANK(C60),"",SUBTOTAL(3, $C$3:C60))</f>
        <v/>
      </c>
      <c r="C60" s="32"/>
      <c r="D60" s="17"/>
      <c r="E60" s="18"/>
      <c r="F60" s="18"/>
      <c r="G60" s="18"/>
      <c r="H60" s="45" t="str">
        <f>IF(ISBLANK(ElOverlogu11[[#This Row],[Adı Soyadı]]),"",VLOOKUP(ElOverlogu11[[#This Row],[En]],Fiyat[[Ölçü]:[Birim Fiyatı]],2,0))</f>
        <v/>
      </c>
      <c r="I60" s="45" t="str">
        <f>IF(ISBLANK(ElOverlogu11[[#This Row],[En]]),"",(ElOverlogu11[[#This Row],[En]])*ElOverlogu11[[#This Row],[ADET]]*2*ElOverlogu11[[#This Row],[BİRİM FİYAT]]/100)</f>
        <v/>
      </c>
      <c r="J60" s="46" t="str">
        <f>IF(ISBLANK(ElOverlogu11[[#This Row],[En]]),"",SUMIF(ElOverlogu11[Adı Soyadı],ElOverlogu11[[#This Row],[Adı Soyadı]],ElOverlogu11[TUTAR]))</f>
        <v/>
      </c>
    </row>
    <row r="61" spans="2:10" ht="16.5" thickTop="1" thickBot="1" x14ac:dyDescent="0.3">
      <c r="B61" s="16" t="str">
        <f>IF(ISBLANK(C61),"",SUBTOTAL(3, $C$3:C61))</f>
        <v/>
      </c>
      <c r="C61" s="32"/>
      <c r="D61" s="17"/>
      <c r="E61" s="18"/>
      <c r="F61" s="18"/>
      <c r="G61" s="18"/>
      <c r="H61" s="45" t="str">
        <f>IF(ISBLANK(ElOverlogu11[[#This Row],[Adı Soyadı]]),"",VLOOKUP(ElOverlogu11[[#This Row],[En]],Fiyat[[Ölçü]:[Birim Fiyatı]],2,0))</f>
        <v/>
      </c>
      <c r="I61" s="45" t="str">
        <f>IF(ISBLANK(ElOverlogu11[[#This Row],[En]]),"",(ElOverlogu11[[#This Row],[En]])*ElOverlogu11[[#This Row],[ADET]]*2*ElOverlogu11[[#This Row],[BİRİM FİYAT]]/100)</f>
        <v/>
      </c>
      <c r="J61" s="46" t="str">
        <f>IF(ISBLANK(ElOverlogu11[[#This Row],[En]]),"",SUMIF(ElOverlogu11[Adı Soyadı],ElOverlogu11[[#This Row],[Adı Soyadı]],ElOverlogu11[TUTAR]))</f>
        <v/>
      </c>
    </row>
    <row r="62" spans="2:10" ht="16.5" thickTop="1" thickBot="1" x14ac:dyDescent="0.3">
      <c r="B62" s="16" t="str">
        <f>IF(ISBLANK(C62),"",SUBTOTAL(3, $C$3:C62))</f>
        <v/>
      </c>
      <c r="C62" s="32"/>
      <c r="D62" s="17"/>
      <c r="E62" s="18"/>
      <c r="F62" s="18"/>
      <c r="G62" s="18"/>
      <c r="H62" s="45" t="str">
        <f>IF(ISBLANK(ElOverlogu11[[#This Row],[Adı Soyadı]]),"",VLOOKUP(ElOverlogu11[[#This Row],[En]],Fiyat[[Ölçü]:[Birim Fiyatı]],2,0))</f>
        <v/>
      </c>
      <c r="I62" s="45" t="str">
        <f>IF(ISBLANK(ElOverlogu11[[#This Row],[En]]),"",(ElOverlogu11[[#This Row],[En]])*ElOverlogu11[[#This Row],[ADET]]*2*ElOverlogu11[[#This Row],[BİRİM FİYAT]]/100)</f>
        <v/>
      </c>
      <c r="J62" s="46" t="str">
        <f>IF(ISBLANK(ElOverlogu11[[#This Row],[En]]),"",SUMIF(ElOverlogu11[Adı Soyadı],ElOverlogu11[[#This Row],[Adı Soyadı]],ElOverlogu11[TUTAR]))</f>
        <v/>
      </c>
    </row>
    <row r="63" spans="2:10" ht="16.5" thickTop="1" thickBot="1" x14ac:dyDescent="0.3">
      <c r="B63" s="16" t="str">
        <f>IF(ISBLANK(C63),"",SUBTOTAL(3, $C$3:C63))</f>
        <v/>
      </c>
      <c r="C63" s="32"/>
      <c r="D63" s="17"/>
      <c r="E63" s="18"/>
      <c r="F63" s="18"/>
      <c r="G63" s="18"/>
      <c r="H63" s="45" t="str">
        <f>IF(ISBLANK(ElOverlogu11[[#This Row],[Adı Soyadı]]),"",VLOOKUP(ElOverlogu11[[#This Row],[En]],Fiyat[[Ölçü]:[Birim Fiyatı]],2,0))</f>
        <v/>
      </c>
      <c r="I63" s="45" t="str">
        <f>IF(ISBLANK(ElOverlogu11[[#This Row],[En]]),"",(ElOverlogu11[[#This Row],[En]])*ElOverlogu11[[#This Row],[ADET]]*2*ElOverlogu11[[#This Row],[BİRİM FİYAT]]/100)</f>
        <v/>
      </c>
      <c r="J63" s="46" t="str">
        <f>IF(ISBLANK(ElOverlogu11[[#This Row],[En]]),"",SUMIF(ElOverlogu11[Adı Soyadı],ElOverlogu11[[#This Row],[Adı Soyadı]],ElOverlogu11[TUTAR]))</f>
        <v/>
      </c>
    </row>
    <row r="64" spans="2:10" ht="16.5" thickTop="1" thickBot="1" x14ac:dyDescent="0.3">
      <c r="B64" s="16" t="str">
        <f>IF(ISBLANK(C64),"",SUBTOTAL(3, $C$3:C64))</f>
        <v/>
      </c>
      <c r="C64" s="32"/>
      <c r="D64" s="17"/>
      <c r="E64" s="18"/>
      <c r="F64" s="18"/>
      <c r="G64" s="18"/>
      <c r="H64" s="45" t="str">
        <f>IF(ISBLANK(ElOverlogu11[[#This Row],[Adı Soyadı]]),"",VLOOKUP(ElOverlogu11[[#This Row],[En]],Fiyat[[Ölçü]:[Birim Fiyatı]],2,0))</f>
        <v/>
      </c>
      <c r="I64" s="45" t="str">
        <f>IF(ISBLANK(ElOverlogu11[[#This Row],[En]]),"",(ElOverlogu11[[#This Row],[En]])*ElOverlogu11[[#This Row],[ADET]]*2*ElOverlogu11[[#This Row],[BİRİM FİYAT]]/100)</f>
        <v/>
      </c>
      <c r="J64" s="46" t="str">
        <f>IF(ISBLANK(ElOverlogu11[[#This Row],[En]]),"",SUMIF(ElOverlogu11[Adı Soyadı],ElOverlogu11[[#This Row],[Adı Soyadı]],ElOverlogu11[TUTAR]))</f>
        <v/>
      </c>
    </row>
    <row r="65" spans="2:10" ht="16.5" thickTop="1" thickBot="1" x14ac:dyDescent="0.3">
      <c r="B65" s="16" t="str">
        <f>IF(ISBLANK(C65),"",SUBTOTAL(3, $C$3:C65))</f>
        <v/>
      </c>
      <c r="C65" s="32"/>
      <c r="D65" s="17"/>
      <c r="E65" s="18"/>
      <c r="F65" s="18"/>
      <c r="G65" s="18"/>
      <c r="H65" s="45" t="str">
        <f>IF(ISBLANK(ElOverlogu11[[#This Row],[Adı Soyadı]]),"",VLOOKUP(ElOverlogu11[[#This Row],[En]],Fiyat[[Ölçü]:[Birim Fiyatı]],2,0))</f>
        <v/>
      </c>
      <c r="I65" s="45" t="str">
        <f>IF(ISBLANK(ElOverlogu11[[#This Row],[En]]),"",(ElOverlogu11[[#This Row],[En]])*ElOverlogu11[[#This Row],[ADET]]*2*ElOverlogu11[[#This Row],[BİRİM FİYAT]]/100)</f>
        <v/>
      </c>
      <c r="J65" s="46" t="str">
        <f>IF(ISBLANK(ElOverlogu11[[#This Row],[En]]),"",SUMIF(ElOverlogu11[Adı Soyadı],ElOverlogu11[[#This Row],[Adı Soyadı]],ElOverlogu11[TUTAR]))</f>
        <v/>
      </c>
    </row>
    <row r="66" spans="2:10" ht="16.5" thickTop="1" thickBot="1" x14ac:dyDescent="0.3">
      <c r="B66" s="16" t="str">
        <f>IF(ISBLANK(C66),"",SUBTOTAL(3, $C$3:C66))</f>
        <v/>
      </c>
      <c r="C66" s="32"/>
      <c r="D66" s="17"/>
      <c r="E66" s="18"/>
      <c r="F66" s="18"/>
      <c r="G66" s="18"/>
      <c r="H66" s="45" t="str">
        <f>IF(ISBLANK(ElOverlogu11[[#This Row],[Adı Soyadı]]),"",VLOOKUP(ElOverlogu11[[#This Row],[En]],Fiyat[[Ölçü]:[Birim Fiyatı]],2,0))</f>
        <v/>
      </c>
      <c r="I66" s="45" t="str">
        <f>IF(ISBLANK(ElOverlogu11[[#This Row],[En]]),"",(ElOverlogu11[[#This Row],[En]])*ElOverlogu11[[#This Row],[ADET]]*2*ElOverlogu11[[#This Row],[BİRİM FİYAT]]/100)</f>
        <v/>
      </c>
      <c r="J66" s="46" t="str">
        <f>IF(ISBLANK(ElOverlogu11[[#This Row],[En]]),"",SUMIF(ElOverlogu11[Adı Soyadı],ElOverlogu11[[#This Row],[Adı Soyadı]],ElOverlogu11[TUTAR]))</f>
        <v/>
      </c>
    </row>
    <row r="67" spans="2:10" ht="16.5" thickTop="1" thickBot="1" x14ac:dyDescent="0.3">
      <c r="B67" s="16" t="str">
        <f>IF(ISBLANK(C67),"",SUBTOTAL(3, $C$3:C67))</f>
        <v/>
      </c>
      <c r="C67" s="32"/>
      <c r="D67" s="17"/>
      <c r="E67" s="18"/>
      <c r="F67" s="18"/>
      <c r="G67" s="18"/>
      <c r="H67" s="45" t="str">
        <f>IF(ISBLANK(ElOverlogu11[[#This Row],[Adı Soyadı]]),"",VLOOKUP(ElOverlogu11[[#This Row],[En]],Fiyat[[Ölçü]:[Birim Fiyatı]],2,0))</f>
        <v/>
      </c>
      <c r="I67" s="45" t="str">
        <f>IF(ISBLANK(ElOverlogu11[[#This Row],[En]]),"",(ElOverlogu11[[#This Row],[En]])*ElOverlogu11[[#This Row],[ADET]]*2*ElOverlogu11[[#This Row],[BİRİM FİYAT]]/100)</f>
        <v/>
      </c>
      <c r="J67" s="46" t="str">
        <f>IF(ISBLANK(ElOverlogu11[[#This Row],[En]]),"",SUMIF(ElOverlogu11[Adı Soyadı],ElOverlogu11[[#This Row],[Adı Soyadı]],ElOverlogu11[TUTAR]))</f>
        <v/>
      </c>
    </row>
    <row r="68" spans="2:10" ht="16.5" thickTop="1" thickBot="1" x14ac:dyDescent="0.3">
      <c r="B68" s="16" t="str">
        <f>IF(ISBLANK(C68),"",SUBTOTAL(3, $C$3:C68))</f>
        <v/>
      </c>
      <c r="C68" s="32"/>
      <c r="D68" s="17"/>
      <c r="E68" s="18"/>
      <c r="F68" s="18"/>
      <c r="G68" s="18"/>
      <c r="H68" s="45" t="str">
        <f>IF(ISBLANK(ElOverlogu11[[#This Row],[Adı Soyadı]]),"",VLOOKUP(ElOverlogu11[[#This Row],[En]],Fiyat[[Ölçü]:[Birim Fiyatı]],2,0))</f>
        <v/>
      </c>
      <c r="I68" s="45" t="str">
        <f>IF(ISBLANK(ElOverlogu11[[#This Row],[En]]),"",(ElOverlogu11[[#This Row],[En]])*ElOverlogu11[[#This Row],[ADET]]*2*ElOverlogu11[[#This Row],[BİRİM FİYAT]]/100)</f>
        <v/>
      </c>
      <c r="J68" s="46" t="str">
        <f>IF(ISBLANK(ElOverlogu11[[#This Row],[En]]),"",SUMIF(ElOverlogu11[Adı Soyadı],ElOverlogu11[[#This Row],[Adı Soyadı]],ElOverlogu11[TUTAR]))</f>
        <v/>
      </c>
    </row>
    <row r="69" spans="2:10" ht="16.5" thickTop="1" thickBot="1" x14ac:dyDescent="0.3">
      <c r="B69" s="16" t="str">
        <f>IF(ISBLANK(C69),"",SUBTOTAL(3, $C$3:C69))</f>
        <v/>
      </c>
      <c r="C69" s="32"/>
      <c r="D69" s="17"/>
      <c r="E69" s="18"/>
      <c r="F69" s="18"/>
      <c r="G69" s="18"/>
      <c r="H69" s="45" t="str">
        <f>IF(ISBLANK(ElOverlogu11[[#This Row],[Adı Soyadı]]),"",VLOOKUP(ElOverlogu11[[#This Row],[En]],Fiyat[[Ölçü]:[Birim Fiyatı]],2,0))</f>
        <v/>
      </c>
      <c r="I69" s="45" t="str">
        <f>IF(ISBLANK(ElOverlogu11[[#This Row],[En]]),"",(ElOverlogu11[[#This Row],[En]])*ElOverlogu11[[#This Row],[ADET]]*2*ElOverlogu11[[#This Row],[BİRİM FİYAT]]/100)</f>
        <v/>
      </c>
      <c r="J69" s="46" t="str">
        <f>IF(ISBLANK(ElOverlogu11[[#This Row],[En]]),"",SUMIF(ElOverlogu11[Adı Soyadı],ElOverlogu11[[#This Row],[Adı Soyadı]],ElOverlogu11[TUTAR]))</f>
        <v/>
      </c>
    </row>
    <row r="70" spans="2:10" ht="16.5" thickTop="1" thickBot="1" x14ac:dyDescent="0.3">
      <c r="B70" s="16" t="str">
        <f>IF(ISBLANK(C70),"",SUBTOTAL(3, $C$3:C70))</f>
        <v/>
      </c>
      <c r="C70" s="32"/>
      <c r="D70" s="17"/>
      <c r="E70" s="18"/>
      <c r="F70" s="18"/>
      <c r="G70" s="18"/>
      <c r="H70" s="45" t="str">
        <f>IF(ISBLANK(ElOverlogu11[[#This Row],[Adı Soyadı]]),"",VLOOKUP(ElOverlogu11[[#This Row],[En]],Fiyat[[Ölçü]:[Birim Fiyatı]],2,0))</f>
        <v/>
      </c>
      <c r="I70" s="45" t="str">
        <f>IF(ISBLANK(ElOverlogu11[[#This Row],[En]]),"",(ElOverlogu11[[#This Row],[En]])*ElOverlogu11[[#This Row],[ADET]]*2*ElOverlogu11[[#This Row],[BİRİM FİYAT]]/100)</f>
        <v/>
      </c>
      <c r="J70" s="46" t="str">
        <f>IF(ISBLANK(ElOverlogu11[[#This Row],[En]]),"",SUMIF(ElOverlogu11[Adı Soyadı],ElOverlogu11[[#This Row],[Adı Soyadı]],ElOverlogu11[TUTAR]))</f>
        <v/>
      </c>
    </row>
    <row r="71" spans="2:10" ht="16.5" thickTop="1" thickBot="1" x14ac:dyDescent="0.3">
      <c r="B71" s="16" t="str">
        <f>IF(ISBLANK(C71),"",SUBTOTAL(3, $C$3:C71))</f>
        <v/>
      </c>
      <c r="C71" s="32"/>
      <c r="D71" s="17"/>
      <c r="E71" s="18"/>
      <c r="F71" s="18"/>
      <c r="G71" s="18"/>
      <c r="H71" s="45" t="str">
        <f>IF(ISBLANK(ElOverlogu11[[#This Row],[Adı Soyadı]]),"",VLOOKUP(ElOverlogu11[[#This Row],[En]],Fiyat[[Ölçü]:[Birim Fiyatı]],2,0))</f>
        <v/>
      </c>
      <c r="I71" s="45" t="str">
        <f>IF(ISBLANK(ElOverlogu11[[#This Row],[En]]),"",(ElOverlogu11[[#This Row],[En]])*ElOverlogu11[[#This Row],[ADET]]*2*ElOverlogu11[[#This Row],[BİRİM FİYAT]]/100)</f>
        <v/>
      </c>
      <c r="J71" s="46" t="str">
        <f>IF(ISBLANK(ElOverlogu11[[#This Row],[En]]),"",SUMIF(ElOverlogu11[Adı Soyadı],ElOverlogu11[[#This Row],[Adı Soyadı]],ElOverlogu11[TUTAR]))</f>
        <v/>
      </c>
    </row>
    <row r="72" spans="2:10" ht="16.5" thickTop="1" thickBot="1" x14ac:dyDescent="0.3">
      <c r="B72" s="16" t="str">
        <f>IF(ISBLANK(C72),"",SUBTOTAL(3, $C$3:C72))</f>
        <v/>
      </c>
      <c r="C72" s="32"/>
      <c r="D72" s="17"/>
      <c r="E72" s="18"/>
      <c r="F72" s="18"/>
      <c r="G72" s="18"/>
      <c r="H72" s="45" t="str">
        <f>IF(ISBLANK(ElOverlogu11[[#This Row],[Adı Soyadı]]),"",VLOOKUP(ElOverlogu11[[#This Row],[En]],Fiyat[[Ölçü]:[Birim Fiyatı]],2,0))</f>
        <v/>
      </c>
      <c r="I72" s="45" t="str">
        <f>IF(ISBLANK(ElOverlogu11[[#This Row],[En]]),"",(ElOverlogu11[[#This Row],[En]])*ElOverlogu11[[#This Row],[ADET]]*2*ElOverlogu11[[#This Row],[BİRİM FİYAT]]/100)</f>
        <v/>
      </c>
      <c r="J72" s="46" t="str">
        <f>IF(ISBLANK(ElOverlogu11[[#This Row],[En]]),"",SUMIF(ElOverlogu11[Adı Soyadı],ElOverlogu11[[#This Row],[Adı Soyadı]],ElOverlogu11[TUTAR]))</f>
        <v/>
      </c>
    </row>
    <row r="73" spans="2:10" ht="16.5" thickTop="1" thickBot="1" x14ac:dyDescent="0.3">
      <c r="B73" s="16" t="str">
        <f>IF(ISBLANK(C73),"",SUBTOTAL(3, $C$3:C73))</f>
        <v/>
      </c>
      <c r="C73" s="32"/>
      <c r="D73" s="17"/>
      <c r="E73" s="18"/>
      <c r="F73" s="18"/>
      <c r="G73" s="18"/>
      <c r="H73" s="45" t="str">
        <f>IF(ISBLANK(ElOverlogu11[[#This Row],[Adı Soyadı]]),"",VLOOKUP(ElOverlogu11[[#This Row],[En]],Fiyat[[Ölçü]:[Birim Fiyatı]],2,0))</f>
        <v/>
      </c>
      <c r="I73" s="45" t="str">
        <f>IF(ISBLANK(ElOverlogu11[[#This Row],[En]]),"",(ElOverlogu11[[#This Row],[En]])*ElOverlogu11[[#This Row],[ADET]]*2*ElOverlogu11[[#This Row],[BİRİM FİYAT]]/100)</f>
        <v/>
      </c>
      <c r="J73" s="46" t="str">
        <f>IF(ISBLANK(ElOverlogu11[[#This Row],[En]]),"",SUMIF(ElOverlogu11[Adı Soyadı],ElOverlogu11[[#This Row],[Adı Soyadı]],ElOverlogu11[TUTAR]))</f>
        <v/>
      </c>
    </row>
    <row r="74" spans="2:10" ht="16.5" thickTop="1" thickBot="1" x14ac:dyDescent="0.3">
      <c r="B74" s="16" t="str">
        <f>IF(ISBLANK(C74),"",SUBTOTAL(3, $C$3:C74))</f>
        <v/>
      </c>
      <c r="C74" s="32"/>
      <c r="D74" s="17"/>
      <c r="E74" s="18"/>
      <c r="F74" s="18"/>
      <c r="G74" s="18"/>
      <c r="H74" s="45" t="str">
        <f>IF(ISBLANK(ElOverlogu11[[#This Row],[Adı Soyadı]]),"",VLOOKUP(ElOverlogu11[[#This Row],[En]],Fiyat[[Ölçü]:[Birim Fiyatı]],2,0))</f>
        <v/>
      </c>
      <c r="I74" s="45" t="str">
        <f>IF(ISBLANK(ElOverlogu11[[#This Row],[En]]),"",(ElOverlogu11[[#This Row],[En]])*ElOverlogu11[[#This Row],[ADET]]*2*ElOverlogu11[[#This Row],[BİRİM FİYAT]]/100)</f>
        <v/>
      </c>
      <c r="J74" s="46" t="str">
        <f>IF(ISBLANK(ElOverlogu11[[#This Row],[En]]),"",SUMIF(ElOverlogu11[Adı Soyadı],ElOverlogu11[[#This Row],[Adı Soyadı]],ElOverlogu11[TUTAR]))</f>
        <v/>
      </c>
    </row>
    <row r="75" spans="2:10" ht="16.5" thickTop="1" thickBot="1" x14ac:dyDescent="0.3">
      <c r="B75" s="16" t="str">
        <f>IF(ISBLANK(C75),"",SUBTOTAL(3, $C$3:C75))</f>
        <v/>
      </c>
      <c r="C75" s="32"/>
      <c r="D75" s="17"/>
      <c r="E75" s="18"/>
      <c r="F75" s="18"/>
      <c r="G75" s="18"/>
      <c r="H75" s="45" t="str">
        <f>IF(ISBLANK(ElOverlogu11[[#This Row],[Adı Soyadı]]),"",VLOOKUP(ElOverlogu11[[#This Row],[En]],Fiyat[[Ölçü]:[Birim Fiyatı]],2,0))</f>
        <v/>
      </c>
      <c r="I75" s="45" t="str">
        <f>IF(ISBLANK(ElOverlogu11[[#This Row],[En]]),"",(ElOverlogu11[[#This Row],[En]])*ElOverlogu11[[#This Row],[ADET]]*2*ElOverlogu11[[#This Row],[BİRİM FİYAT]]/100)</f>
        <v/>
      </c>
      <c r="J75" s="46" t="str">
        <f>IF(ISBLANK(ElOverlogu11[[#This Row],[En]]),"",SUMIF(ElOverlogu11[Adı Soyadı],ElOverlogu11[[#This Row],[Adı Soyadı]],ElOverlogu11[TUTAR]))</f>
        <v/>
      </c>
    </row>
    <row r="76" spans="2:10" ht="16.5" thickTop="1" thickBot="1" x14ac:dyDescent="0.3">
      <c r="B76" s="16" t="str">
        <f>IF(ISBLANK(C76),"",SUBTOTAL(3, $C$3:C76))</f>
        <v/>
      </c>
      <c r="C76" s="32"/>
      <c r="D76" s="17"/>
      <c r="E76" s="18"/>
      <c r="F76" s="18"/>
      <c r="G76" s="18"/>
      <c r="H76" s="45" t="str">
        <f>IF(ISBLANK(ElOverlogu11[[#This Row],[Adı Soyadı]]),"",VLOOKUP(ElOverlogu11[[#This Row],[En]],Fiyat[[Ölçü]:[Birim Fiyatı]],2,0))</f>
        <v/>
      </c>
      <c r="I76" s="45" t="str">
        <f>IF(ISBLANK(ElOverlogu11[[#This Row],[En]]),"",(ElOverlogu11[[#This Row],[En]])*ElOverlogu11[[#This Row],[ADET]]*2*ElOverlogu11[[#This Row],[BİRİM FİYAT]]/100)</f>
        <v/>
      </c>
      <c r="J76" s="46" t="str">
        <f>IF(ISBLANK(ElOverlogu11[[#This Row],[En]]),"",SUMIF(ElOverlogu11[Adı Soyadı],ElOverlogu11[[#This Row],[Adı Soyadı]],ElOverlogu11[TUTAR]))</f>
        <v/>
      </c>
    </row>
    <row r="77" spans="2:10" ht="15.75" thickTop="1" x14ac:dyDescent="0.25">
      <c r="B77" s="11" t="str">
        <f>IF(ISBLANK(C77),"",SUBTOTAL(3, $C$3:C77))</f>
        <v/>
      </c>
      <c r="C77" s="33"/>
      <c r="D77" s="12"/>
      <c r="E77" s="13"/>
      <c r="F77" s="13"/>
      <c r="G77" s="13"/>
      <c r="H77" s="48" t="str">
        <f>IF(ISBLANK(ElOverlogu11[[#This Row],[Adı Soyadı]]),"",VLOOKUP(ElOverlogu11[[#This Row],[En]],Fiyat[[Ölçü]:[Birim Fiyatı]],2,0))</f>
        <v/>
      </c>
      <c r="I77" s="48" t="str">
        <f>IF(ISBLANK(ElOverlogu11[[#This Row],[En]]),"",(ElOverlogu11[[#This Row],[En]])*ElOverlogu11[[#This Row],[ADET]]*2*ElOverlogu11[[#This Row],[BİRİM FİYAT]]/100)</f>
        <v/>
      </c>
      <c r="J77" s="14" t="str">
        <f>IF(ISBLANK(ElOverlogu11[[#This Row],[En]]),"",SUMIF(ElOverlogu11[Adı Soyadı],ElOverlogu11[[#This Row],[Adı Soyadı]],ElOverlogu11[TUTAR]))</f>
        <v/>
      </c>
    </row>
    <row r="78" spans="2:10" x14ac:dyDescent="0.25">
      <c r="B78" s="1" t="str">
        <f>IF(ISBLANK(C78),"",SUBTOTAL(3, $C$3:C78))</f>
        <v/>
      </c>
      <c r="C78" s="34"/>
      <c r="D78" s="6"/>
      <c r="E78" s="7"/>
      <c r="F78" s="7"/>
      <c r="G78" s="7"/>
      <c r="H78" s="49" t="str">
        <f>IF(ISBLANK(ElOverlogu11[[#This Row],[Adı Soyadı]]),"",VLOOKUP(ElOverlogu11[[#This Row],[En]],Fiyat[[Ölçü]:[Birim Fiyatı]],2,0))</f>
        <v/>
      </c>
      <c r="I78" s="49" t="str">
        <f>IF(ISBLANK(ElOverlogu11[[#This Row],[En]]),"",(ElOverlogu11[[#This Row],[En]])*ElOverlogu11[[#This Row],[ADET]]*2*ElOverlogu11[[#This Row],[BİRİM FİYAT]]/100)</f>
        <v/>
      </c>
      <c r="J78" s="2" t="str">
        <f>IF(ISBLANK(ElOverlogu11[[#This Row],[En]]),"",SUMIF(ElOverlogu11[Adı Soyadı],ElOverlogu11[[#This Row],[Adı Soyadı]],ElOverlogu11[TUTAR]))</f>
        <v/>
      </c>
    </row>
    <row r="79" spans="2:10" x14ac:dyDescent="0.25">
      <c r="B79" s="1" t="str">
        <f>IF(ISBLANK(C79),"",SUBTOTAL(3, $C$3:C79))</f>
        <v/>
      </c>
      <c r="C79" s="34"/>
      <c r="D79" s="6"/>
      <c r="E79" s="7"/>
      <c r="F79" s="7"/>
      <c r="G79" s="7"/>
      <c r="H79" s="49" t="str">
        <f>IF(ISBLANK(ElOverlogu11[[#This Row],[Adı Soyadı]]),"",VLOOKUP(ElOverlogu11[[#This Row],[En]],Fiyat[[Ölçü]:[Birim Fiyatı]],2,0))</f>
        <v/>
      </c>
      <c r="I79" s="49" t="str">
        <f>IF(ISBLANK(ElOverlogu11[[#This Row],[En]]),"",(ElOverlogu11[[#This Row],[En]])*ElOverlogu11[[#This Row],[ADET]]*2*ElOverlogu11[[#This Row],[BİRİM FİYAT]]/100)</f>
        <v/>
      </c>
      <c r="J79" s="2" t="str">
        <f>IF(ISBLANK(ElOverlogu11[[#This Row],[En]]),"",SUMIF(ElOverlogu11[Adı Soyadı],ElOverlogu11[[#This Row],[Adı Soyadı]],ElOverlogu11[TUTAR]))</f>
        <v/>
      </c>
    </row>
    <row r="80" spans="2:10" x14ac:dyDescent="0.25">
      <c r="B80" s="1" t="str">
        <f>IF(ISBLANK(C80),"",SUBTOTAL(3, $C$3:C80))</f>
        <v/>
      </c>
      <c r="C80" s="34"/>
      <c r="D80" s="6"/>
      <c r="E80" s="7"/>
      <c r="F80" s="7"/>
      <c r="G80" s="7"/>
      <c r="H80" s="49" t="str">
        <f>IF(ISBLANK(ElOverlogu11[[#This Row],[Adı Soyadı]]),"",VLOOKUP(ElOverlogu11[[#This Row],[En]],Fiyat[[Ölçü]:[Birim Fiyatı]],2,0))</f>
        <v/>
      </c>
      <c r="I80" s="49" t="str">
        <f>IF(ISBLANK(ElOverlogu11[[#This Row],[En]]),"",(ElOverlogu11[[#This Row],[En]])*ElOverlogu11[[#This Row],[ADET]]*2*ElOverlogu11[[#This Row],[BİRİM FİYAT]]/100)</f>
        <v/>
      </c>
      <c r="J80" s="2" t="str">
        <f>IF(ISBLANK(ElOverlogu11[[#This Row],[En]]),"",SUMIF(ElOverlogu11[Adı Soyadı],ElOverlogu11[[#This Row],[Adı Soyadı]],ElOverlogu11[TUTAR]))</f>
        <v/>
      </c>
    </row>
    <row r="81" spans="2:10" x14ac:dyDescent="0.25">
      <c r="B81" s="1" t="str">
        <f>IF(ISBLANK(C81),"",SUBTOTAL(3, $C$3:C81))</f>
        <v/>
      </c>
      <c r="C81" s="34"/>
      <c r="D81" s="6"/>
      <c r="E81" s="7"/>
      <c r="F81" s="7"/>
      <c r="G81" s="7"/>
      <c r="H81" s="49" t="str">
        <f>IF(ISBLANK(ElOverlogu11[[#This Row],[Adı Soyadı]]),"",VLOOKUP(ElOverlogu11[[#This Row],[En]],Fiyat[[Ölçü]:[Birim Fiyatı]],2,0))</f>
        <v/>
      </c>
      <c r="I81" s="49" t="str">
        <f>IF(ISBLANK(ElOverlogu11[[#This Row],[En]]),"",(ElOverlogu11[[#This Row],[En]])*ElOverlogu11[[#This Row],[ADET]]*2*ElOverlogu11[[#This Row],[BİRİM FİYAT]]/100)</f>
        <v/>
      </c>
      <c r="J81" s="2" t="str">
        <f>IF(ISBLANK(ElOverlogu11[[#This Row],[En]]),"",SUMIF(ElOverlogu11[Adı Soyadı],ElOverlogu11[[#This Row],[Adı Soyadı]],ElOverlogu11[TUTAR]))</f>
        <v/>
      </c>
    </row>
    <row r="82" spans="2:10" x14ac:dyDescent="0.25">
      <c r="B82" s="1" t="str">
        <f>IF(ISBLANK(C82),"",SUBTOTAL(3, $C$3:C82))</f>
        <v/>
      </c>
      <c r="C82" s="34"/>
      <c r="D82" s="6"/>
      <c r="E82" s="7"/>
      <c r="F82" s="7"/>
      <c r="G82" s="7"/>
      <c r="H82" s="49" t="str">
        <f>IF(ISBLANK(ElOverlogu11[[#This Row],[Adı Soyadı]]),"",VLOOKUP(ElOverlogu11[[#This Row],[En]],Fiyat[[Ölçü]:[Birim Fiyatı]],2,0))</f>
        <v/>
      </c>
      <c r="I82" s="49" t="str">
        <f>IF(ISBLANK(ElOverlogu11[[#This Row],[En]]),"",(ElOverlogu11[[#This Row],[En]])*ElOverlogu11[[#This Row],[ADET]]*2*ElOverlogu11[[#This Row],[BİRİM FİYAT]]/100)</f>
        <v/>
      </c>
      <c r="J82" s="2" t="str">
        <f>IF(ISBLANK(ElOverlogu11[[#This Row],[En]]),"",SUMIF(ElOverlogu11[Adı Soyadı],ElOverlogu11[[#This Row],[Adı Soyadı]],ElOverlogu11[TUTAR]))</f>
        <v/>
      </c>
    </row>
    <row r="83" spans="2:10" x14ac:dyDescent="0.25">
      <c r="B83" s="1" t="str">
        <f>IF(ISBLANK(C83),"",SUBTOTAL(3, $C$3:C83))</f>
        <v/>
      </c>
      <c r="C83" s="34"/>
      <c r="D83" s="6"/>
      <c r="E83" s="7"/>
      <c r="F83" s="7"/>
      <c r="G83" s="7"/>
      <c r="H83" s="49" t="str">
        <f>IF(ISBLANK(ElOverlogu11[[#This Row],[Adı Soyadı]]),"",VLOOKUP(ElOverlogu11[[#This Row],[En]],Fiyat[[Ölçü]:[Birim Fiyatı]],2,0))</f>
        <v/>
      </c>
      <c r="I83" s="49" t="str">
        <f>IF(ISBLANK(ElOverlogu11[[#This Row],[En]]),"",(ElOverlogu11[[#This Row],[En]])*ElOverlogu11[[#This Row],[ADET]]*2*ElOverlogu11[[#This Row],[BİRİM FİYAT]]/100)</f>
        <v/>
      </c>
      <c r="J83" s="2" t="str">
        <f>IF(ISBLANK(ElOverlogu11[[#This Row],[En]]),"",SUMIF(ElOverlogu11[Adı Soyadı],ElOverlogu11[[#This Row],[Adı Soyadı]],ElOverlogu11[TUTAR]))</f>
        <v/>
      </c>
    </row>
    <row r="84" spans="2:10" x14ac:dyDescent="0.25">
      <c r="B84" s="1" t="str">
        <f>IF(ISBLANK(C84),"",SUBTOTAL(3, $C$3:C84))</f>
        <v/>
      </c>
      <c r="C84" s="34"/>
      <c r="D84" s="6"/>
      <c r="E84" s="7"/>
      <c r="F84" s="7"/>
      <c r="G84" s="7"/>
      <c r="H84" s="49" t="str">
        <f>IF(ISBLANK(ElOverlogu11[[#This Row],[Adı Soyadı]]),"",VLOOKUP(ElOverlogu11[[#This Row],[En]],Fiyat[[Ölçü]:[Birim Fiyatı]],2,0))</f>
        <v/>
      </c>
      <c r="I84" s="49" t="str">
        <f>IF(ISBLANK(ElOverlogu11[[#This Row],[En]]),"",(ElOverlogu11[[#This Row],[En]])*ElOverlogu11[[#This Row],[ADET]]*2*ElOverlogu11[[#This Row],[BİRİM FİYAT]]/100)</f>
        <v/>
      </c>
      <c r="J84" s="2" t="str">
        <f>IF(ISBLANK(ElOverlogu11[[#This Row],[En]]),"",SUMIF(ElOverlogu11[Adı Soyadı],ElOverlogu11[[#This Row],[Adı Soyadı]],ElOverlogu11[TUTAR]))</f>
        <v/>
      </c>
    </row>
    <row r="85" spans="2:10" x14ac:dyDescent="0.25">
      <c r="B85" s="1" t="str">
        <f>IF(ISBLANK(C85),"",SUBTOTAL(3, $C$3:C85))</f>
        <v/>
      </c>
      <c r="C85" s="34"/>
      <c r="D85" s="6"/>
      <c r="E85" s="7"/>
      <c r="F85" s="7"/>
      <c r="G85" s="7"/>
      <c r="H85" s="49" t="str">
        <f>IF(ISBLANK(ElOverlogu11[[#This Row],[Adı Soyadı]]),"",VLOOKUP(ElOverlogu11[[#This Row],[En]],Fiyat[[Ölçü]:[Birim Fiyatı]],2,0))</f>
        <v/>
      </c>
      <c r="I85" s="49" t="str">
        <f>IF(ISBLANK(ElOverlogu11[[#This Row],[En]]),"",(ElOverlogu11[[#This Row],[En]])*ElOverlogu11[[#This Row],[ADET]]*2*ElOverlogu11[[#This Row],[BİRİM FİYAT]]/100)</f>
        <v/>
      </c>
      <c r="J85" s="2" t="str">
        <f>IF(ISBLANK(ElOverlogu11[[#This Row],[En]]),"",SUMIF(ElOverlogu11[Adı Soyadı],ElOverlogu11[[#This Row],[Adı Soyadı]],ElOverlogu11[TUTAR]))</f>
        <v/>
      </c>
    </row>
    <row r="86" spans="2:10" x14ac:dyDescent="0.25">
      <c r="B86" s="1" t="str">
        <f>IF(ISBLANK(C86),"",SUBTOTAL(3, $C$3:C86))</f>
        <v/>
      </c>
      <c r="C86" s="34"/>
      <c r="D86" s="6"/>
      <c r="E86" s="7"/>
      <c r="F86" s="7"/>
      <c r="G86" s="7"/>
      <c r="H86" s="49" t="str">
        <f>IF(ISBLANK(ElOverlogu11[[#This Row],[Adı Soyadı]]),"",VLOOKUP(ElOverlogu11[[#This Row],[En]],Fiyat[[Ölçü]:[Birim Fiyatı]],2,0))</f>
        <v/>
      </c>
      <c r="I86" s="49" t="str">
        <f>IF(ISBLANK(ElOverlogu11[[#This Row],[En]]),"",(ElOverlogu11[[#This Row],[En]])*ElOverlogu11[[#This Row],[ADET]]*2*ElOverlogu11[[#This Row],[BİRİM FİYAT]]/100)</f>
        <v/>
      </c>
      <c r="J86" s="2" t="str">
        <f>IF(ISBLANK(ElOverlogu11[[#This Row],[En]]),"",SUMIF(ElOverlogu11[Adı Soyadı],ElOverlogu11[[#This Row],[Adı Soyadı]],ElOverlogu11[TUTAR]))</f>
        <v/>
      </c>
    </row>
    <row r="87" spans="2:10" x14ac:dyDescent="0.25">
      <c r="B87" s="1" t="str">
        <f>IF(ISBLANK(C87),"",SUBTOTAL(3, $C$3:C87))</f>
        <v/>
      </c>
      <c r="C87" s="34"/>
      <c r="D87" s="6"/>
      <c r="E87" s="7"/>
      <c r="F87" s="7"/>
      <c r="G87" s="7"/>
      <c r="H87" s="49" t="str">
        <f>IF(ISBLANK(ElOverlogu11[[#This Row],[Adı Soyadı]]),"",VLOOKUP(ElOverlogu11[[#This Row],[En]],Fiyat[[Ölçü]:[Birim Fiyatı]],2,0))</f>
        <v/>
      </c>
      <c r="I87" s="49" t="str">
        <f>IF(ISBLANK(ElOverlogu11[[#This Row],[En]]),"",(ElOverlogu11[[#This Row],[En]])*ElOverlogu11[[#This Row],[ADET]]*2*ElOverlogu11[[#This Row],[BİRİM FİYAT]]/100)</f>
        <v/>
      </c>
      <c r="J87" s="2" t="str">
        <f>IF(ISBLANK(ElOverlogu11[[#This Row],[En]]),"",SUMIF(ElOverlogu11[Adı Soyadı],ElOverlogu11[[#This Row],[Adı Soyadı]],ElOverlogu11[TUTAR]))</f>
        <v/>
      </c>
    </row>
    <row r="88" spans="2:10" x14ac:dyDescent="0.25">
      <c r="B88" s="1" t="str">
        <f>IF(ISBLANK(C88),"",SUBTOTAL(3, $C$3:C88))</f>
        <v/>
      </c>
      <c r="C88" s="34"/>
      <c r="D88" s="6"/>
      <c r="E88" s="7"/>
      <c r="F88" s="7"/>
      <c r="G88" s="7"/>
      <c r="H88" s="49" t="str">
        <f>IF(ISBLANK(ElOverlogu11[[#This Row],[Adı Soyadı]]),"",VLOOKUP(ElOverlogu11[[#This Row],[En]],Fiyat[[Ölçü]:[Birim Fiyatı]],2,0))</f>
        <v/>
      </c>
      <c r="I88" s="49" t="str">
        <f>IF(ISBLANK(ElOverlogu11[[#This Row],[En]]),"",(ElOverlogu11[[#This Row],[En]])*ElOverlogu11[[#This Row],[ADET]]*2*ElOverlogu11[[#This Row],[BİRİM FİYAT]]/100)</f>
        <v/>
      </c>
      <c r="J88" s="2" t="str">
        <f>IF(ISBLANK(ElOverlogu11[[#This Row],[En]]),"",SUMIF(ElOverlogu11[Adı Soyadı],ElOverlogu11[[#This Row],[Adı Soyadı]],ElOverlogu11[TUTAR]))</f>
        <v/>
      </c>
    </row>
    <row r="89" spans="2:10" x14ac:dyDescent="0.25">
      <c r="B89" s="1" t="str">
        <f>IF(ISBLANK(C89),"",SUBTOTAL(3, $C$3:C89))</f>
        <v/>
      </c>
      <c r="C89" s="34"/>
      <c r="D89" s="6"/>
      <c r="E89" s="7"/>
      <c r="F89" s="7"/>
      <c r="G89" s="7"/>
      <c r="H89" s="49" t="str">
        <f>IF(ISBLANK(ElOverlogu11[[#This Row],[Adı Soyadı]]),"",VLOOKUP(ElOverlogu11[[#This Row],[En]],Fiyat[[Ölçü]:[Birim Fiyatı]],2,0))</f>
        <v/>
      </c>
      <c r="I89" s="49" t="str">
        <f>IF(ISBLANK(ElOverlogu11[[#This Row],[En]]),"",(ElOverlogu11[[#This Row],[En]])*ElOverlogu11[[#This Row],[ADET]]*2*ElOverlogu11[[#This Row],[BİRİM FİYAT]]/100)</f>
        <v/>
      </c>
      <c r="J89" s="2" t="str">
        <f>IF(ISBLANK(ElOverlogu11[[#This Row],[En]]),"",SUMIF(ElOverlogu11[Adı Soyadı],ElOverlogu11[[#This Row],[Adı Soyadı]],ElOverlogu11[TUTAR]))</f>
        <v/>
      </c>
    </row>
    <row r="90" spans="2:10" x14ac:dyDescent="0.25">
      <c r="B90" s="1" t="str">
        <f>IF(ISBLANK(C90),"",SUBTOTAL(3, $C$3:C90))</f>
        <v/>
      </c>
      <c r="C90" s="34"/>
      <c r="D90" s="6"/>
      <c r="E90" s="9"/>
      <c r="F90" s="9"/>
      <c r="G90" s="9"/>
      <c r="H90" s="49" t="str">
        <f>IF(ISBLANK(ElOverlogu11[[#This Row],[Adı Soyadı]]),"",VLOOKUP(ElOverlogu11[[#This Row],[En]],Fiyat[[Ölçü]:[Birim Fiyatı]],2,0))</f>
        <v/>
      </c>
      <c r="I90" s="49" t="str">
        <f>IF(ISBLANK(ElOverlogu11[[#This Row],[En]]),"",(ElOverlogu11[[#This Row],[En]])*ElOverlogu11[[#This Row],[ADET]]*2*ElOverlogu11[[#This Row],[BİRİM FİYAT]]/100)</f>
        <v/>
      </c>
      <c r="J90" s="10" t="str">
        <f>IF(ISBLANK(ElOverlogu11[[#This Row],[En]]),"",SUMIF(ElOverlogu11[Adı Soyadı],ElOverlogu11[[#This Row],[Adı Soyadı]],ElOverlogu11[TUTAR]))</f>
        <v/>
      </c>
    </row>
    <row r="91" spans="2:10" x14ac:dyDescent="0.25">
      <c r="B91" s="1" t="str">
        <f>IF(ISBLANK(C91),"",SUBTOTAL(3, $C$3:C91))</f>
        <v/>
      </c>
      <c r="C91" s="35"/>
      <c r="D91" s="8"/>
      <c r="E91" s="9"/>
      <c r="F91" s="9"/>
      <c r="G91" s="9"/>
      <c r="H91" s="49" t="str">
        <f>IF(ISBLANK(ElOverlogu11[[#This Row],[Adı Soyadı]]),"",VLOOKUP(ElOverlogu11[[#This Row],[En]],Fiyat[[Ölçü]:[Birim Fiyatı]],2,0))</f>
        <v/>
      </c>
      <c r="I91" s="49" t="str">
        <f>IF(ISBLANK(ElOverlogu11[[#This Row],[En]]),"",(ElOverlogu11[[#This Row],[En]])*ElOverlogu11[[#This Row],[ADET]]*2*ElOverlogu11[[#This Row],[BİRİM FİYAT]]/100)</f>
        <v/>
      </c>
      <c r="J91" s="10" t="str">
        <f>IF(ISBLANK(ElOverlogu11[[#This Row],[En]]),"",SUMIF(ElOverlogu11[Adı Soyadı],ElOverlogu11[[#This Row],[Adı Soyadı]],ElOverlogu11[TUTAR]))</f>
        <v/>
      </c>
    </row>
    <row r="92" spans="2:10" x14ac:dyDescent="0.25">
      <c r="B92" s="1" t="str">
        <f>IF(ISBLANK(C92),"",SUBTOTAL(3, $C$3:C92))</f>
        <v/>
      </c>
      <c r="C92" s="35"/>
      <c r="D92" s="8"/>
      <c r="E92" s="9"/>
      <c r="F92" s="9"/>
      <c r="G92" s="9"/>
      <c r="H92" s="49" t="str">
        <f>IF(ISBLANK(ElOverlogu11[[#This Row],[Adı Soyadı]]),"",VLOOKUP(ElOverlogu11[[#This Row],[En]],Fiyat[[Ölçü]:[Birim Fiyatı]],2,0))</f>
        <v/>
      </c>
      <c r="I92" s="49" t="str">
        <f>IF(ISBLANK(ElOverlogu11[[#This Row],[En]]),"",(ElOverlogu11[[#This Row],[En]])*ElOverlogu11[[#This Row],[ADET]]*2*ElOverlogu11[[#This Row],[BİRİM FİYAT]]/100)</f>
        <v/>
      </c>
      <c r="J92" s="10" t="str">
        <f>IF(ISBLANK(ElOverlogu11[[#This Row],[En]]),"",SUMIF(ElOverlogu11[Adı Soyadı],ElOverlogu11[[#This Row],[Adı Soyadı]],ElOverlogu11[TUTAR]))</f>
        <v/>
      </c>
    </row>
    <row r="93" spans="2:10" x14ac:dyDescent="0.25">
      <c r="B93" s="1" t="str">
        <f>IF(ISBLANK(C93),"",SUBTOTAL(3, $C$3:C93))</f>
        <v/>
      </c>
      <c r="C93" s="35"/>
      <c r="D93" s="8"/>
      <c r="E93" s="9"/>
      <c r="F93" s="9"/>
      <c r="G93" s="9"/>
      <c r="H93" s="49" t="str">
        <f>IF(ISBLANK(ElOverlogu11[[#This Row],[Adı Soyadı]]),"",VLOOKUP(ElOverlogu11[[#This Row],[En]],Fiyat[[Ölçü]:[Birim Fiyatı]],2,0))</f>
        <v/>
      </c>
      <c r="I93" s="49" t="str">
        <f>IF(ISBLANK(ElOverlogu11[[#This Row],[En]]),"",(ElOverlogu11[[#This Row],[En]])*ElOverlogu11[[#This Row],[ADET]]*2*ElOverlogu11[[#This Row],[BİRİM FİYAT]]/100)</f>
        <v/>
      </c>
      <c r="J93" s="10" t="str">
        <f>IF(ISBLANK(ElOverlogu11[[#This Row],[En]]),"",SUMIF(ElOverlogu11[Adı Soyadı],ElOverlogu11[[#This Row],[Adı Soyadı]],ElOverlogu11[TUTAR]))</f>
        <v/>
      </c>
    </row>
    <row r="94" spans="2:10" x14ac:dyDescent="0.25">
      <c r="B94" s="1" t="str">
        <f>IF(ISBLANK(C94),"",SUBTOTAL(3, $C$3:C94))</f>
        <v/>
      </c>
      <c r="C94" s="35"/>
      <c r="D94" s="8"/>
      <c r="E94" s="9"/>
      <c r="F94" s="9"/>
      <c r="G94" s="9"/>
      <c r="H94" s="49" t="str">
        <f>IF(ISBLANK(ElOverlogu11[[#This Row],[Adı Soyadı]]),"",VLOOKUP(ElOverlogu11[[#This Row],[En]],Fiyat[[Ölçü]:[Birim Fiyatı]],2,0))</f>
        <v/>
      </c>
      <c r="I94" s="49" t="str">
        <f>IF(ISBLANK(ElOverlogu11[[#This Row],[En]]),"",(ElOverlogu11[[#This Row],[En]])*ElOverlogu11[[#This Row],[ADET]]*2*ElOverlogu11[[#This Row],[BİRİM FİYAT]]/100)</f>
        <v/>
      </c>
      <c r="J94" s="10" t="str">
        <f>IF(ISBLANK(ElOverlogu11[[#This Row],[En]]),"",SUMIF(ElOverlogu11[Adı Soyadı],ElOverlogu11[[#This Row],[Adı Soyadı]],ElOverlogu11[TUTAR]))</f>
        <v/>
      </c>
    </row>
    <row r="95" spans="2:10" x14ac:dyDescent="0.25">
      <c r="B95" s="1" t="str">
        <f>IF(ISBLANK(C95),"",SUBTOTAL(3, $C$3:C95))</f>
        <v/>
      </c>
      <c r="C95" s="35"/>
      <c r="D95" s="8"/>
      <c r="E95" s="9"/>
      <c r="F95" s="9"/>
      <c r="G95" s="9"/>
      <c r="H95" s="49" t="str">
        <f>IF(ISBLANK(ElOverlogu11[[#This Row],[Adı Soyadı]]),"",VLOOKUP(ElOverlogu11[[#This Row],[En]],Fiyat[[Ölçü]:[Birim Fiyatı]],2,0))</f>
        <v/>
      </c>
      <c r="I95" s="49" t="str">
        <f>IF(ISBLANK(ElOverlogu11[[#This Row],[En]]),"",(ElOverlogu11[[#This Row],[En]])*ElOverlogu11[[#This Row],[ADET]]*2*ElOverlogu11[[#This Row],[BİRİM FİYAT]]/100)</f>
        <v/>
      </c>
      <c r="J95" s="10" t="str">
        <f>IF(ISBLANK(ElOverlogu11[[#This Row],[En]]),"",SUMIF(ElOverlogu11[Adı Soyadı],ElOverlogu11[[#This Row],[Adı Soyadı]],ElOverlogu11[TUTAR]))</f>
        <v/>
      </c>
    </row>
    <row r="96" spans="2:10" x14ac:dyDescent="0.25">
      <c r="B96" s="1" t="str">
        <f>IF(ISBLANK(C96),"",SUBTOTAL(3, $C$3:C96))</f>
        <v/>
      </c>
      <c r="C96" s="35"/>
      <c r="D96" s="8"/>
      <c r="E96" s="9"/>
      <c r="F96" s="9"/>
      <c r="G96" s="9"/>
      <c r="H96" s="49" t="str">
        <f>IF(ISBLANK(ElOverlogu11[[#This Row],[Adı Soyadı]]),"",VLOOKUP(ElOverlogu11[[#This Row],[En]],Fiyat[[Ölçü]:[Birim Fiyatı]],2,0))</f>
        <v/>
      </c>
      <c r="I96" s="49" t="str">
        <f>IF(ISBLANK(ElOverlogu11[[#This Row],[En]]),"",(ElOverlogu11[[#This Row],[En]])*ElOverlogu11[[#This Row],[ADET]]*2*ElOverlogu11[[#This Row],[BİRİM FİYAT]]/100)</f>
        <v/>
      </c>
      <c r="J96" s="10" t="str">
        <f>IF(ISBLANK(ElOverlogu11[[#This Row],[En]]),"",SUMIF(ElOverlogu11[Adı Soyadı],ElOverlogu11[[#This Row],[Adı Soyadı]],ElOverlogu11[TUTAR]))</f>
        <v/>
      </c>
    </row>
    <row r="97" spans="2:10" ht="15.75" thickBot="1" x14ac:dyDescent="0.3">
      <c r="B97" s="5" t="str">
        <f>IF(ISBLANK(C97),"",SUBTOTAL(3, $C$3:C97))</f>
        <v/>
      </c>
      <c r="C97" s="35"/>
      <c r="D97" s="8"/>
      <c r="E97" s="9"/>
      <c r="F97" s="9"/>
      <c r="G97" s="9"/>
      <c r="H97" s="50" t="str">
        <f>IF(ISBLANK(ElOverlogu11[[#This Row],[Adı Soyadı]]),"",VLOOKUP(ElOverlogu11[[#This Row],[En]],Fiyat[[Ölçü]:[Birim Fiyatı]],2,0))</f>
        <v/>
      </c>
      <c r="I97" s="50" t="str">
        <f>IF(ISBLANK(ElOverlogu11[[#This Row],[En]]),"",(ElOverlogu11[[#This Row],[En]])*ElOverlogu11[[#This Row],[ADET]]*2*ElOverlogu11[[#This Row],[BİRİM FİYAT]]/100)</f>
        <v/>
      </c>
      <c r="J97" s="10" t="str">
        <f>IF(ISBLANK(ElOverlogu11[[#This Row],[En]]),"",SUMIF(ElOverlogu11[Adı Soyadı],ElOverlogu11[[#This Row],[Adı Soyadı]],ElOverlogu11[TUTAR]))</f>
        <v/>
      </c>
    </row>
    <row r="98" spans="2:10" ht="16.5" thickTop="1" thickBot="1" x14ac:dyDescent="0.3">
      <c r="B98" s="16" t="s">
        <v>41</v>
      </c>
      <c r="C98" s="17"/>
      <c r="D98" s="17"/>
      <c r="E98" s="18"/>
      <c r="F98" s="18"/>
      <c r="G98" s="18">
        <f>SUBTOTAL(109,ElOverlogu11[ADET])</f>
        <v>0</v>
      </c>
      <c r="H98" s="45"/>
      <c r="I98" s="45">
        <f>SUBTOTAL(109,ElOverlogu11[TUTAR])</f>
        <v>0</v>
      </c>
      <c r="J98" s="51"/>
    </row>
    <row r="99" spans="2:10" ht="15.75" thickTop="1" x14ac:dyDescent="0.25"/>
  </sheetData>
  <conditionalFormatting sqref="C3:C97">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29" min="2" max="8"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7E3964FF-9285-4350-B05A-043D16DF7B97}">
          <x14:formula1>
            <xm:f>Listeler!$M$3:$M$27</xm:f>
          </x14:formula1>
          <xm:sqref>E3:E97</xm:sqref>
        </x14:dataValidation>
        <x14:dataValidation type="list" allowBlank="1" showInputMessage="1" showErrorMessage="1" xr:uid="{61B720FB-F404-4F90-B8D3-F190423C67B7}">
          <x14:formula1>
            <xm:f>Listeler!$N$3:$N$27</xm:f>
          </x14:formula1>
          <xm:sqref>F3:F97</xm:sqref>
        </x14:dataValidation>
        <x14:dataValidation type="list" allowBlank="1" showInputMessage="1" showErrorMessage="1" xr:uid="{7311A83D-BB92-48C5-B940-7146F2E2D3A2}">
          <x14:formula1>
            <xm:f>Listeler!$C$3:$C$45</xm:f>
          </x14:formula1>
          <xm:sqref>C3:C97</xm:sqref>
        </x14:dataValidation>
        <x14:dataValidation type="list" allowBlank="1" showInputMessage="1" showErrorMessage="1" xr:uid="{12E61869-68B0-4BAA-9C99-7620399D9048}">
          <x14:formula1>
            <xm:f>Listeler!$F$3:$F$15</xm:f>
          </x14:formula1>
          <xm:sqref>D3:D97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C7BBB-CA05-4ADC-A4A3-A2A8FF4B5694}">
  <sheetPr>
    <pageSetUpPr fitToPage="1"/>
  </sheetPr>
  <dimension ref="A1:H162"/>
  <sheetViews>
    <sheetView tabSelected="1" topLeftCell="A94" workbookViewId="0">
      <selection activeCell="J108" sqref="J108"/>
    </sheetView>
  </sheetViews>
  <sheetFormatPr defaultRowHeight="15" x14ac:dyDescent="0.25"/>
  <cols>
    <col min="1" max="1" width="3" bestFit="1" customWidth="1"/>
    <col min="2" max="2" width="17.85546875" bestFit="1" customWidth="1"/>
    <col min="3" max="3" width="10.140625" bestFit="1" customWidth="1"/>
    <col min="4" max="4" width="8.28515625" bestFit="1" customWidth="1"/>
    <col min="5" max="5" width="5.5703125" bestFit="1" customWidth="1"/>
    <col min="6" max="6" width="11.7109375" bestFit="1" customWidth="1"/>
    <col min="7" max="7" width="10.7109375" bestFit="1" customWidth="1"/>
  </cols>
  <sheetData>
    <row r="1" spans="1:8" s="58" customFormat="1" x14ac:dyDescent="0.25">
      <c r="A1" s="59" t="s">
        <v>19</v>
      </c>
      <c r="B1" s="59" t="s">
        <v>18</v>
      </c>
      <c r="C1" s="59" t="s">
        <v>52</v>
      </c>
      <c r="D1" s="59" t="s">
        <v>0</v>
      </c>
      <c r="E1" s="59" t="s">
        <v>1</v>
      </c>
      <c r="F1" s="59" t="s">
        <v>2</v>
      </c>
      <c r="G1" s="59" t="s">
        <v>3</v>
      </c>
    </row>
    <row r="2" spans="1:8" x14ac:dyDescent="0.25">
      <c r="A2" s="60">
        <v>1</v>
      </c>
      <c r="B2" s="60" t="s">
        <v>6</v>
      </c>
      <c r="C2" s="60" t="s">
        <v>4</v>
      </c>
      <c r="D2" s="60">
        <v>200</v>
      </c>
      <c r="E2" s="60">
        <v>6</v>
      </c>
      <c r="F2" s="61">
        <v>365</v>
      </c>
      <c r="G2" s="61">
        <v>2190</v>
      </c>
      <c r="H2" t="s">
        <v>80</v>
      </c>
    </row>
    <row r="3" spans="1:8" x14ac:dyDescent="0.25">
      <c r="A3" s="60">
        <v>2</v>
      </c>
      <c r="B3" s="60" t="s">
        <v>6</v>
      </c>
      <c r="C3" s="60" t="s">
        <v>4</v>
      </c>
      <c r="D3" s="60">
        <v>170</v>
      </c>
      <c r="E3" s="60">
        <v>7</v>
      </c>
      <c r="F3" s="61">
        <v>320</v>
      </c>
      <c r="G3" s="61">
        <v>2240</v>
      </c>
    </row>
    <row r="4" spans="1:8" x14ac:dyDescent="0.25">
      <c r="A4" s="60">
        <v>3</v>
      </c>
      <c r="B4" s="60" t="s">
        <v>6</v>
      </c>
      <c r="C4" s="60" t="s">
        <v>4</v>
      </c>
      <c r="D4" s="60">
        <v>130</v>
      </c>
      <c r="E4" s="60">
        <v>1</v>
      </c>
      <c r="F4" s="61">
        <v>245</v>
      </c>
      <c r="G4" s="61">
        <v>245</v>
      </c>
    </row>
    <row r="5" spans="1:8" x14ac:dyDescent="0.25">
      <c r="A5" s="60">
        <v>4</v>
      </c>
      <c r="B5" s="60" t="s">
        <v>6</v>
      </c>
      <c r="C5" s="60" t="s">
        <v>4</v>
      </c>
      <c r="D5" s="60">
        <v>90</v>
      </c>
      <c r="E5" s="60">
        <v>5</v>
      </c>
      <c r="F5" s="61">
        <v>170</v>
      </c>
      <c r="G5" s="61">
        <v>850</v>
      </c>
    </row>
    <row r="6" spans="1:8" x14ac:dyDescent="0.25">
      <c r="A6" s="60">
        <v>5</v>
      </c>
      <c r="B6" s="60" t="s">
        <v>6</v>
      </c>
      <c r="C6" s="60" t="s">
        <v>4</v>
      </c>
      <c r="D6" s="63" t="s">
        <v>42</v>
      </c>
      <c r="E6" s="60">
        <v>1</v>
      </c>
      <c r="F6" s="61">
        <v>1000</v>
      </c>
      <c r="G6" s="61">
        <v>1000</v>
      </c>
    </row>
    <row r="7" spans="1:8" x14ac:dyDescent="0.25">
      <c r="A7" s="60">
        <v>6</v>
      </c>
      <c r="B7" s="60" t="s">
        <v>6</v>
      </c>
      <c r="C7" s="60" t="s">
        <v>4</v>
      </c>
      <c r="D7" s="63" t="s">
        <v>39</v>
      </c>
      <c r="E7" s="60">
        <v>1</v>
      </c>
      <c r="F7" s="61">
        <v>800</v>
      </c>
      <c r="G7" s="61">
        <v>800</v>
      </c>
    </row>
    <row r="8" spans="1:8" x14ac:dyDescent="0.25">
      <c r="A8" s="60">
        <v>7</v>
      </c>
      <c r="B8" s="60" t="s">
        <v>6</v>
      </c>
      <c r="C8" s="60" t="s">
        <v>4</v>
      </c>
      <c r="D8" s="60">
        <v>240</v>
      </c>
      <c r="E8" s="60">
        <v>1</v>
      </c>
      <c r="F8" s="61">
        <v>445</v>
      </c>
      <c r="G8" s="61">
        <v>445</v>
      </c>
    </row>
    <row r="9" spans="1:8" x14ac:dyDescent="0.25">
      <c r="A9" s="60">
        <v>8</v>
      </c>
      <c r="B9" s="60" t="s">
        <v>6</v>
      </c>
      <c r="C9" s="60" t="s">
        <v>7</v>
      </c>
      <c r="D9" s="60">
        <v>200</v>
      </c>
      <c r="E9" s="60">
        <v>6</v>
      </c>
      <c r="F9" s="61">
        <v>365</v>
      </c>
      <c r="G9" s="61">
        <v>2190</v>
      </c>
    </row>
    <row r="10" spans="1:8" x14ac:dyDescent="0.25">
      <c r="A10" s="60">
        <v>9</v>
      </c>
      <c r="B10" s="60" t="s">
        <v>6</v>
      </c>
      <c r="C10" s="60" t="s">
        <v>7</v>
      </c>
      <c r="D10" s="60">
        <v>160</v>
      </c>
      <c r="E10" s="60">
        <v>4</v>
      </c>
      <c r="F10" s="61">
        <v>300</v>
      </c>
      <c r="G10" s="61">
        <v>1200</v>
      </c>
    </row>
    <row r="11" spans="1:8" x14ac:dyDescent="0.25">
      <c r="A11" s="60">
        <v>10</v>
      </c>
      <c r="B11" s="60" t="s">
        <v>6</v>
      </c>
      <c r="C11" s="60" t="s">
        <v>7</v>
      </c>
      <c r="D11" s="60">
        <v>90</v>
      </c>
      <c r="E11" s="60">
        <v>3</v>
      </c>
      <c r="F11" s="61">
        <v>170</v>
      </c>
      <c r="G11" s="61">
        <v>510</v>
      </c>
    </row>
    <row r="12" spans="1:8" s="58" customFormat="1" x14ac:dyDescent="0.25">
      <c r="A12" s="59"/>
      <c r="B12" s="59" t="s">
        <v>41</v>
      </c>
      <c r="C12" s="59"/>
      <c r="D12" s="59"/>
      <c r="E12" s="59">
        <v>35</v>
      </c>
      <c r="F12" s="59"/>
      <c r="G12" s="62">
        <v>11670</v>
      </c>
    </row>
    <row r="14" spans="1:8" s="58" customFormat="1" x14ac:dyDescent="0.25">
      <c r="A14" s="59" t="s">
        <v>19</v>
      </c>
      <c r="B14" s="59" t="s">
        <v>18</v>
      </c>
      <c r="C14" s="59" t="s">
        <v>52</v>
      </c>
      <c r="D14" s="59" t="s">
        <v>0</v>
      </c>
      <c r="E14" s="59" t="s">
        <v>1</v>
      </c>
      <c r="F14" s="59" t="s">
        <v>2</v>
      </c>
      <c r="G14" s="59" t="s">
        <v>3</v>
      </c>
    </row>
    <row r="15" spans="1:8" x14ac:dyDescent="0.25">
      <c r="A15" s="60">
        <v>1</v>
      </c>
      <c r="B15" s="60" t="s">
        <v>10</v>
      </c>
      <c r="C15" s="60" t="s">
        <v>4</v>
      </c>
      <c r="D15" s="60">
        <v>200</v>
      </c>
      <c r="E15" s="60">
        <v>12</v>
      </c>
      <c r="F15" s="61">
        <v>365</v>
      </c>
      <c r="G15" s="61">
        <v>4380</v>
      </c>
      <c r="H15" t="s">
        <v>80</v>
      </c>
    </row>
    <row r="16" spans="1:8" x14ac:dyDescent="0.25">
      <c r="A16" s="60">
        <v>2</v>
      </c>
      <c r="B16" s="60" t="s">
        <v>10</v>
      </c>
      <c r="C16" s="60" t="s">
        <v>4</v>
      </c>
      <c r="D16" s="60">
        <v>170</v>
      </c>
      <c r="E16" s="60">
        <v>8</v>
      </c>
      <c r="F16" s="61">
        <v>320</v>
      </c>
      <c r="G16" s="61">
        <v>2560</v>
      </c>
    </row>
    <row r="17" spans="1:8" x14ac:dyDescent="0.25">
      <c r="A17" s="60">
        <v>3</v>
      </c>
      <c r="B17" s="60" t="s">
        <v>10</v>
      </c>
      <c r="C17" s="60" t="s">
        <v>4</v>
      </c>
      <c r="D17" s="60">
        <v>130</v>
      </c>
      <c r="E17" s="60">
        <v>4</v>
      </c>
      <c r="F17" s="61">
        <v>245</v>
      </c>
      <c r="G17" s="61">
        <v>980</v>
      </c>
    </row>
    <row r="18" spans="1:8" x14ac:dyDescent="0.25">
      <c r="A18" s="60">
        <v>4</v>
      </c>
      <c r="B18" s="60" t="s">
        <v>10</v>
      </c>
      <c r="C18" s="60" t="s">
        <v>4</v>
      </c>
      <c r="D18" s="60" t="s">
        <v>39</v>
      </c>
      <c r="E18" s="60">
        <v>3</v>
      </c>
      <c r="F18" s="61">
        <v>800</v>
      </c>
      <c r="G18" s="61">
        <v>2400</v>
      </c>
    </row>
    <row r="19" spans="1:8" x14ac:dyDescent="0.25">
      <c r="A19" s="60">
        <v>5</v>
      </c>
      <c r="B19" s="60" t="s">
        <v>10</v>
      </c>
      <c r="C19" s="60" t="s">
        <v>4</v>
      </c>
      <c r="D19" s="60">
        <v>300</v>
      </c>
      <c r="E19" s="60">
        <v>2</v>
      </c>
      <c r="F19" s="61">
        <v>570</v>
      </c>
      <c r="G19" s="61">
        <v>1140</v>
      </c>
    </row>
    <row r="20" spans="1:8" x14ac:dyDescent="0.25">
      <c r="A20" s="60">
        <v>6</v>
      </c>
      <c r="B20" s="60" t="s">
        <v>10</v>
      </c>
      <c r="C20" s="60" t="s">
        <v>4</v>
      </c>
      <c r="D20" s="60">
        <v>80</v>
      </c>
      <c r="E20" s="60">
        <v>1</v>
      </c>
      <c r="F20" s="61">
        <v>150</v>
      </c>
      <c r="G20" s="61">
        <v>150</v>
      </c>
    </row>
    <row r="21" spans="1:8" x14ac:dyDescent="0.25">
      <c r="A21" s="60">
        <v>7</v>
      </c>
      <c r="B21" s="60" t="s">
        <v>10</v>
      </c>
      <c r="C21" s="60" t="s">
        <v>4</v>
      </c>
      <c r="D21" s="60">
        <v>240</v>
      </c>
      <c r="E21" s="60">
        <v>1</v>
      </c>
      <c r="F21" s="61">
        <v>445</v>
      </c>
      <c r="G21" s="61">
        <v>445</v>
      </c>
    </row>
    <row r="22" spans="1:8" x14ac:dyDescent="0.25">
      <c r="A22" s="60">
        <v>8</v>
      </c>
      <c r="B22" s="60" t="s">
        <v>10</v>
      </c>
      <c r="C22" s="60" t="s">
        <v>7</v>
      </c>
      <c r="D22" s="60">
        <v>200</v>
      </c>
      <c r="E22" s="60">
        <v>1</v>
      </c>
      <c r="F22" s="61">
        <v>365</v>
      </c>
      <c r="G22" s="61">
        <v>365</v>
      </c>
    </row>
    <row r="23" spans="1:8" x14ac:dyDescent="0.25">
      <c r="A23" s="60">
        <v>9</v>
      </c>
      <c r="B23" s="60" t="s">
        <v>10</v>
      </c>
      <c r="C23" s="60" t="s">
        <v>7</v>
      </c>
      <c r="D23" s="60">
        <v>130</v>
      </c>
      <c r="E23" s="60">
        <v>7</v>
      </c>
      <c r="F23" s="61">
        <v>245</v>
      </c>
      <c r="G23" s="61">
        <v>1715</v>
      </c>
    </row>
    <row r="24" spans="1:8" s="58" customFormat="1" x14ac:dyDescent="0.25">
      <c r="A24" s="59"/>
      <c r="B24" s="59" t="s">
        <v>41</v>
      </c>
      <c r="C24" s="59"/>
      <c r="D24" s="59"/>
      <c r="E24" s="59">
        <v>39</v>
      </c>
      <c r="F24" s="59"/>
      <c r="G24" s="62">
        <v>14135</v>
      </c>
    </row>
    <row r="26" spans="1:8" s="58" customFormat="1" x14ac:dyDescent="0.25">
      <c r="A26" s="59" t="s">
        <v>19</v>
      </c>
      <c r="B26" s="59" t="s">
        <v>18</v>
      </c>
      <c r="C26" s="59" t="s">
        <v>52</v>
      </c>
      <c r="D26" s="59" t="s">
        <v>0</v>
      </c>
      <c r="E26" s="59" t="s">
        <v>1</v>
      </c>
      <c r="F26" s="59" t="s">
        <v>2</v>
      </c>
      <c r="G26" s="59" t="s">
        <v>3</v>
      </c>
    </row>
    <row r="27" spans="1:8" x14ac:dyDescent="0.25">
      <c r="A27" s="60">
        <v>1</v>
      </c>
      <c r="B27" s="60" t="s">
        <v>60</v>
      </c>
      <c r="C27" s="60" t="s">
        <v>4</v>
      </c>
      <c r="D27" s="60">
        <v>240</v>
      </c>
      <c r="E27" s="60">
        <v>1</v>
      </c>
      <c r="F27" s="61">
        <v>445</v>
      </c>
      <c r="G27" s="61">
        <v>445</v>
      </c>
      <c r="H27" t="s">
        <v>80</v>
      </c>
    </row>
    <row r="28" spans="1:8" x14ac:dyDescent="0.25">
      <c r="A28" s="60">
        <v>2</v>
      </c>
      <c r="B28" s="60" t="s">
        <v>60</v>
      </c>
      <c r="C28" s="60" t="s">
        <v>4</v>
      </c>
      <c r="D28" s="60">
        <v>170</v>
      </c>
      <c r="E28" s="60">
        <v>4</v>
      </c>
      <c r="F28" s="61">
        <v>320</v>
      </c>
      <c r="G28" s="61">
        <v>1280</v>
      </c>
    </row>
    <row r="29" spans="1:8" x14ac:dyDescent="0.25">
      <c r="A29" s="60">
        <v>3</v>
      </c>
      <c r="B29" s="60" t="s">
        <v>60</v>
      </c>
      <c r="C29" s="60" t="s">
        <v>4</v>
      </c>
      <c r="D29" s="60">
        <v>90</v>
      </c>
      <c r="E29" s="60">
        <v>2</v>
      </c>
      <c r="F29" s="61">
        <v>170</v>
      </c>
      <c r="G29" s="61">
        <v>340</v>
      </c>
    </row>
    <row r="30" spans="1:8" x14ac:dyDescent="0.25">
      <c r="A30" s="60">
        <v>4</v>
      </c>
      <c r="B30" s="60" t="s">
        <v>60</v>
      </c>
      <c r="C30" s="60" t="s">
        <v>4</v>
      </c>
      <c r="D30" s="60">
        <v>80</v>
      </c>
      <c r="E30" s="60">
        <v>1</v>
      </c>
      <c r="F30" s="61">
        <v>150</v>
      </c>
      <c r="G30" s="61">
        <v>150</v>
      </c>
    </row>
    <row r="31" spans="1:8" x14ac:dyDescent="0.25">
      <c r="A31" s="60">
        <v>5</v>
      </c>
      <c r="B31" s="60" t="s">
        <v>60</v>
      </c>
      <c r="C31" s="60" t="s">
        <v>7</v>
      </c>
      <c r="D31" s="60">
        <v>200</v>
      </c>
      <c r="E31" s="60">
        <v>2</v>
      </c>
      <c r="F31" s="61">
        <v>365</v>
      </c>
      <c r="G31" s="61">
        <v>730</v>
      </c>
    </row>
    <row r="32" spans="1:8" s="58" customFormat="1" x14ac:dyDescent="0.25">
      <c r="A32" s="59"/>
      <c r="B32" s="59" t="s">
        <v>41</v>
      </c>
      <c r="C32" s="59"/>
      <c r="D32" s="59"/>
      <c r="E32" s="59">
        <v>10</v>
      </c>
      <c r="F32" s="59"/>
      <c r="G32" s="62">
        <v>2945</v>
      </c>
    </row>
    <row r="34" spans="1:8" s="58" customFormat="1" x14ac:dyDescent="0.25">
      <c r="A34" s="59" t="s">
        <v>19</v>
      </c>
      <c r="B34" s="59" t="s">
        <v>18</v>
      </c>
      <c r="C34" s="59" t="s">
        <v>52</v>
      </c>
      <c r="D34" s="59" t="s">
        <v>0</v>
      </c>
      <c r="E34" s="59" t="s">
        <v>1</v>
      </c>
      <c r="F34" s="59" t="s">
        <v>2</v>
      </c>
      <c r="G34" s="59" t="s">
        <v>3</v>
      </c>
    </row>
    <row r="35" spans="1:8" x14ac:dyDescent="0.25">
      <c r="A35" s="60">
        <v>1</v>
      </c>
      <c r="B35" s="60" t="s">
        <v>30</v>
      </c>
      <c r="C35" s="60" t="s">
        <v>7</v>
      </c>
      <c r="D35" s="60">
        <v>200</v>
      </c>
      <c r="E35" s="60">
        <v>1</v>
      </c>
      <c r="F35" s="61">
        <v>365</v>
      </c>
      <c r="G35" s="61">
        <v>365</v>
      </c>
      <c r="H35" t="s">
        <v>80</v>
      </c>
    </row>
    <row r="36" spans="1:8" s="58" customFormat="1" x14ac:dyDescent="0.25">
      <c r="A36" s="59"/>
      <c r="B36" s="59" t="s">
        <v>41</v>
      </c>
      <c r="C36" s="59"/>
      <c r="D36" s="59"/>
      <c r="E36" s="59">
        <v>1</v>
      </c>
      <c r="F36" s="59"/>
      <c r="G36" s="62">
        <v>365</v>
      </c>
    </row>
    <row r="38" spans="1:8" s="58" customFormat="1" x14ac:dyDescent="0.25">
      <c r="A38" s="59" t="s">
        <v>19</v>
      </c>
      <c r="B38" s="59" t="s">
        <v>18</v>
      </c>
      <c r="C38" s="59" t="s">
        <v>52</v>
      </c>
      <c r="D38" s="59" t="s">
        <v>0</v>
      </c>
      <c r="E38" s="59" t="s">
        <v>1</v>
      </c>
      <c r="F38" s="59" t="s">
        <v>2</v>
      </c>
      <c r="G38" s="59" t="s">
        <v>3</v>
      </c>
    </row>
    <row r="39" spans="1:8" x14ac:dyDescent="0.25">
      <c r="A39" s="60">
        <v>1</v>
      </c>
      <c r="B39" s="60" t="s">
        <v>11</v>
      </c>
      <c r="C39" s="60" t="s">
        <v>4</v>
      </c>
      <c r="D39" s="60">
        <v>200</v>
      </c>
      <c r="E39" s="60">
        <v>6</v>
      </c>
      <c r="F39" s="61">
        <v>365</v>
      </c>
      <c r="G39" s="61">
        <v>2190</v>
      </c>
      <c r="H39" t="s">
        <v>80</v>
      </c>
    </row>
    <row r="40" spans="1:8" x14ac:dyDescent="0.25">
      <c r="A40" s="60">
        <v>2</v>
      </c>
      <c r="B40" s="60" t="s">
        <v>11</v>
      </c>
      <c r="C40" s="60" t="s">
        <v>4</v>
      </c>
      <c r="D40" s="60">
        <v>170</v>
      </c>
      <c r="E40" s="60">
        <v>1</v>
      </c>
      <c r="F40" s="61">
        <v>320</v>
      </c>
      <c r="G40" s="61">
        <v>320</v>
      </c>
    </row>
    <row r="41" spans="1:8" x14ac:dyDescent="0.25">
      <c r="A41" s="60">
        <v>3</v>
      </c>
      <c r="B41" s="60" t="s">
        <v>11</v>
      </c>
      <c r="C41" s="60" t="s">
        <v>4</v>
      </c>
      <c r="D41" s="60">
        <v>240</v>
      </c>
      <c r="E41" s="60">
        <v>3</v>
      </c>
      <c r="F41" s="61">
        <v>445</v>
      </c>
      <c r="G41" s="61">
        <v>1335</v>
      </c>
    </row>
    <row r="42" spans="1:8" x14ac:dyDescent="0.25">
      <c r="A42" s="60">
        <v>4</v>
      </c>
      <c r="B42" s="60" t="s">
        <v>11</v>
      </c>
      <c r="C42" s="60" t="s">
        <v>4</v>
      </c>
      <c r="D42" s="63" t="s">
        <v>42</v>
      </c>
      <c r="E42" s="60">
        <v>2</v>
      </c>
      <c r="F42" s="61">
        <v>1000</v>
      </c>
      <c r="G42" s="61">
        <v>2000</v>
      </c>
    </row>
    <row r="43" spans="1:8" x14ac:dyDescent="0.25">
      <c r="A43" s="60">
        <v>5</v>
      </c>
      <c r="B43" s="60" t="s">
        <v>11</v>
      </c>
      <c r="C43" s="60" t="s">
        <v>4</v>
      </c>
      <c r="D43" s="63" t="s">
        <v>39</v>
      </c>
      <c r="E43" s="60">
        <v>1</v>
      </c>
      <c r="F43" s="61">
        <v>800</v>
      </c>
      <c r="G43" s="61">
        <v>800</v>
      </c>
    </row>
    <row r="44" spans="1:8" x14ac:dyDescent="0.25">
      <c r="A44" s="60">
        <v>6</v>
      </c>
      <c r="B44" s="60" t="s">
        <v>11</v>
      </c>
      <c r="C44" s="60" t="s">
        <v>4</v>
      </c>
      <c r="D44" s="63" t="s">
        <v>76</v>
      </c>
      <c r="E44" s="60">
        <v>2</v>
      </c>
      <c r="F44" s="61">
        <v>650</v>
      </c>
      <c r="G44" s="61">
        <v>1300</v>
      </c>
    </row>
    <row r="45" spans="1:8" x14ac:dyDescent="0.25">
      <c r="A45" s="60">
        <v>7</v>
      </c>
      <c r="B45" s="60" t="s">
        <v>11</v>
      </c>
      <c r="C45" s="60" t="s">
        <v>4</v>
      </c>
      <c r="D45" s="63" t="s">
        <v>55</v>
      </c>
      <c r="E45" s="60">
        <v>1</v>
      </c>
      <c r="F45" s="61">
        <v>600</v>
      </c>
      <c r="G45" s="61">
        <v>600</v>
      </c>
    </row>
    <row r="46" spans="1:8" x14ac:dyDescent="0.25">
      <c r="A46" s="60">
        <v>8</v>
      </c>
      <c r="B46" s="60" t="s">
        <v>11</v>
      </c>
      <c r="C46" s="60" t="s">
        <v>4</v>
      </c>
      <c r="D46" s="60">
        <v>90</v>
      </c>
      <c r="E46" s="60">
        <v>15</v>
      </c>
      <c r="F46" s="61">
        <v>170</v>
      </c>
      <c r="G46" s="61">
        <v>2550</v>
      </c>
    </row>
    <row r="47" spans="1:8" x14ac:dyDescent="0.25">
      <c r="A47" s="60">
        <v>9</v>
      </c>
      <c r="B47" s="60" t="s">
        <v>11</v>
      </c>
      <c r="C47" s="60" t="s">
        <v>7</v>
      </c>
      <c r="D47" s="60">
        <v>200</v>
      </c>
      <c r="E47" s="60">
        <v>2</v>
      </c>
      <c r="F47" s="61">
        <v>365</v>
      </c>
      <c r="G47" s="61">
        <v>730</v>
      </c>
    </row>
    <row r="48" spans="1:8" s="58" customFormat="1" x14ac:dyDescent="0.25">
      <c r="A48" s="59"/>
      <c r="B48" s="59" t="s">
        <v>41</v>
      </c>
      <c r="C48" s="59"/>
      <c r="D48" s="59"/>
      <c r="E48" s="59">
        <v>33</v>
      </c>
      <c r="F48" s="59"/>
      <c r="G48" s="62">
        <v>11825</v>
      </c>
    </row>
    <row r="51" spans="1:8" s="58" customFormat="1" x14ac:dyDescent="0.25">
      <c r="A51" s="59" t="s">
        <v>19</v>
      </c>
      <c r="B51" s="59" t="s">
        <v>18</v>
      </c>
      <c r="C51" s="59" t="s">
        <v>52</v>
      </c>
      <c r="D51" s="59" t="s">
        <v>0</v>
      </c>
      <c r="E51" s="59" t="s">
        <v>1</v>
      </c>
      <c r="F51" s="59" t="s">
        <v>2</v>
      </c>
      <c r="G51" s="59" t="s">
        <v>3</v>
      </c>
    </row>
    <row r="52" spans="1:8" x14ac:dyDescent="0.25">
      <c r="A52" s="60">
        <v>1</v>
      </c>
      <c r="B52" s="60" t="s">
        <v>8</v>
      </c>
      <c r="C52" s="60" t="s">
        <v>4</v>
      </c>
      <c r="D52" s="60">
        <v>200</v>
      </c>
      <c r="E52" s="60">
        <v>2</v>
      </c>
      <c r="F52" s="61">
        <v>365</v>
      </c>
      <c r="G52" s="61">
        <v>730</v>
      </c>
      <c r="H52" t="s">
        <v>80</v>
      </c>
    </row>
    <row r="53" spans="1:8" x14ac:dyDescent="0.25">
      <c r="A53" s="60">
        <v>2</v>
      </c>
      <c r="B53" s="60" t="s">
        <v>8</v>
      </c>
      <c r="C53" s="60" t="s">
        <v>4</v>
      </c>
      <c r="D53" s="60">
        <v>170</v>
      </c>
      <c r="E53" s="60">
        <v>1</v>
      </c>
      <c r="F53" s="61">
        <v>320</v>
      </c>
      <c r="G53" s="61">
        <v>320</v>
      </c>
    </row>
    <row r="54" spans="1:8" x14ac:dyDescent="0.25">
      <c r="A54" s="60">
        <v>3</v>
      </c>
      <c r="B54" s="60" t="s">
        <v>8</v>
      </c>
      <c r="C54" s="60" t="s">
        <v>4</v>
      </c>
      <c r="D54" s="63" t="s">
        <v>42</v>
      </c>
      <c r="E54" s="60">
        <v>2</v>
      </c>
      <c r="F54" s="61">
        <v>1000</v>
      </c>
      <c r="G54" s="61">
        <v>2000</v>
      </c>
    </row>
    <row r="55" spans="1:8" x14ac:dyDescent="0.25">
      <c r="A55" s="60">
        <v>4</v>
      </c>
      <c r="B55" s="60" t="s">
        <v>8</v>
      </c>
      <c r="C55" s="60" t="s">
        <v>4</v>
      </c>
      <c r="D55" s="63" t="s">
        <v>39</v>
      </c>
      <c r="E55" s="60">
        <v>2</v>
      </c>
      <c r="F55" s="61">
        <v>800</v>
      </c>
      <c r="G55" s="61">
        <v>1600</v>
      </c>
    </row>
    <row r="56" spans="1:8" x14ac:dyDescent="0.25">
      <c r="A56" s="60">
        <v>5</v>
      </c>
      <c r="B56" s="60" t="s">
        <v>8</v>
      </c>
      <c r="C56" s="60" t="s">
        <v>4</v>
      </c>
      <c r="D56" s="63" t="s">
        <v>76</v>
      </c>
      <c r="E56" s="60">
        <v>2</v>
      </c>
      <c r="F56" s="61">
        <v>650</v>
      </c>
      <c r="G56" s="61">
        <v>1300</v>
      </c>
    </row>
    <row r="57" spans="1:8" x14ac:dyDescent="0.25">
      <c r="A57" s="60">
        <v>6</v>
      </c>
      <c r="B57" s="60" t="s">
        <v>8</v>
      </c>
      <c r="C57" s="60" t="s">
        <v>4</v>
      </c>
      <c r="D57" s="60">
        <v>90</v>
      </c>
      <c r="E57" s="60">
        <v>3</v>
      </c>
      <c r="F57" s="61">
        <v>170</v>
      </c>
      <c r="G57" s="61">
        <v>510</v>
      </c>
    </row>
    <row r="58" spans="1:8" x14ac:dyDescent="0.25">
      <c r="A58" s="60">
        <v>7</v>
      </c>
      <c r="B58" s="60" t="s">
        <v>8</v>
      </c>
      <c r="C58" s="60" t="s">
        <v>7</v>
      </c>
      <c r="D58" s="60">
        <v>200</v>
      </c>
      <c r="E58" s="60">
        <v>2</v>
      </c>
      <c r="F58" s="61">
        <v>365</v>
      </c>
      <c r="G58" s="61">
        <v>730</v>
      </c>
    </row>
    <row r="59" spans="1:8" x14ac:dyDescent="0.25">
      <c r="A59" s="60">
        <v>8</v>
      </c>
      <c r="B59" s="60" t="s">
        <v>8</v>
      </c>
      <c r="C59" s="60" t="s">
        <v>7</v>
      </c>
      <c r="D59" s="60">
        <v>160</v>
      </c>
      <c r="E59" s="60">
        <v>2</v>
      </c>
      <c r="F59" s="61">
        <v>300</v>
      </c>
      <c r="G59" s="61">
        <v>600</v>
      </c>
    </row>
    <row r="60" spans="1:8" x14ac:dyDescent="0.25">
      <c r="A60" s="60">
        <v>9</v>
      </c>
      <c r="B60" s="60" t="s">
        <v>8</v>
      </c>
      <c r="C60" s="60" t="s">
        <v>7</v>
      </c>
      <c r="D60" s="60">
        <v>90</v>
      </c>
      <c r="E60" s="60">
        <v>1</v>
      </c>
      <c r="F60" s="61">
        <v>170</v>
      </c>
      <c r="G60" s="61">
        <v>170</v>
      </c>
    </row>
    <row r="61" spans="1:8" x14ac:dyDescent="0.25">
      <c r="A61" s="60">
        <v>10</v>
      </c>
      <c r="B61" s="60" t="s">
        <v>8</v>
      </c>
      <c r="C61" s="60" t="s">
        <v>7</v>
      </c>
      <c r="D61" s="60">
        <v>80</v>
      </c>
      <c r="E61" s="60">
        <v>1</v>
      </c>
      <c r="F61" s="61">
        <v>150</v>
      </c>
      <c r="G61" s="61">
        <v>150</v>
      </c>
    </row>
    <row r="62" spans="1:8" s="58" customFormat="1" x14ac:dyDescent="0.25">
      <c r="A62" s="59"/>
      <c r="B62" s="59" t="s">
        <v>41</v>
      </c>
      <c r="C62" s="59"/>
      <c r="D62" s="59"/>
      <c r="E62" s="59">
        <v>18</v>
      </c>
      <c r="F62" s="59"/>
      <c r="G62" s="62">
        <v>8110</v>
      </c>
    </row>
    <row r="64" spans="1:8" s="58" customFormat="1" x14ac:dyDescent="0.25">
      <c r="A64" s="59" t="s">
        <v>19</v>
      </c>
      <c r="B64" s="59" t="s">
        <v>18</v>
      </c>
      <c r="C64" s="59" t="s">
        <v>52</v>
      </c>
      <c r="D64" s="59" t="s">
        <v>0</v>
      </c>
      <c r="E64" s="59" t="s">
        <v>1</v>
      </c>
      <c r="F64" s="59" t="s">
        <v>2</v>
      </c>
      <c r="G64" s="59" t="s">
        <v>3</v>
      </c>
    </row>
    <row r="65" spans="1:8" x14ac:dyDescent="0.25">
      <c r="A65" s="60">
        <v>1</v>
      </c>
      <c r="B65" s="60" t="s">
        <v>35</v>
      </c>
      <c r="C65" s="60" t="s">
        <v>4</v>
      </c>
      <c r="D65" s="60">
        <v>200</v>
      </c>
      <c r="E65" s="60">
        <v>13</v>
      </c>
      <c r="F65" s="61">
        <v>365</v>
      </c>
      <c r="G65" s="61">
        <v>4745</v>
      </c>
      <c r="H65" t="s">
        <v>80</v>
      </c>
    </row>
    <row r="66" spans="1:8" x14ac:dyDescent="0.25">
      <c r="A66" s="60">
        <v>2</v>
      </c>
      <c r="B66" s="60" t="s">
        <v>35</v>
      </c>
      <c r="C66" s="60" t="s">
        <v>4</v>
      </c>
      <c r="D66" s="60">
        <v>170</v>
      </c>
      <c r="E66" s="60">
        <v>9</v>
      </c>
      <c r="F66" s="61">
        <v>320</v>
      </c>
      <c r="G66" s="61">
        <v>2880</v>
      </c>
    </row>
    <row r="67" spans="1:8" x14ac:dyDescent="0.25">
      <c r="A67" s="60">
        <v>3</v>
      </c>
      <c r="B67" s="60" t="s">
        <v>35</v>
      </c>
      <c r="C67" s="60" t="s">
        <v>4</v>
      </c>
      <c r="D67" s="60">
        <v>130</v>
      </c>
      <c r="E67" s="60">
        <v>1</v>
      </c>
      <c r="F67" s="61">
        <v>245</v>
      </c>
      <c r="G67" s="61">
        <v>245</v>
      </c>
    </row>
    <row r="68" spans="1:8" x14ac:dyDescent="0.25">
      <c r="A68" s="60">
        <v>4</v>
      </c>
      <c r="B68" s="60" t="s">
        <v>35</v>
      </c>
      <c r="C68" s="60" t="s">
        <v>4</v>
      </c>
      <c r="D68" s="60">
        <v>120</v>
      </c>
      <c r="E68" s="60">
        <v>1</v>
      </c>
      <c r="F68" s="61">
        <v>225</v>
      </c>
      <c r="G68" s="61">
        <v>225</v>
      </c>
    </row>
    <row r="69" spans="1:8" x14ac:dyDescent="0.25">
      <c r="A69" s="60">
        <v>5</v>
      </c>
      <c r="B69" s="60" t="s">
        <v>35</v>
      </c>
      <c r="C69" s="60" t="s">
        <v>4</v>
      </c>
      <c r="D69" s="60">
        <v>90</v>
      </c>
      <c r="E69" s="60">
        <v>10</v>
      </c>
      <c r="F69" s="61">
        <v>170</v>
      </c>
      <c r="G69" s="61">
        <v>1700</v>
      </c>
    </row>
    <row r="70" spans="1:8" x14ac:dyDescent="0.25">
      <c r="A70" s="60">
        <v>6</v>
      </c>
      <c r="B70" s="60" t="s">
        <v>35</v>
      </c>
      <c r="C70" s="60" t="s">
        <v>4</v>
      </c>
      <c r="D70" s="60">
        <v>240</v>
      </c>
      <c r="E70" s="60">
        <v>1</v>
      </c>
      <c r="F70" s="61">
        <v>445</v>
      </c>
      <c r="G70" s="61">
        <v>445</v>
      </c>
    </row>
    <row r="71" spans="1:8" x14ac:dyDescent="0.25">
      <c r="A71" s="60">
        <v>7</v>
      </c>
      <c r="B71" s="60" t="s">
        <v>35</v>
      </c>
      <c r="C71" s="60" t="s">
        <v>4</v>
      </c>
      <c r="D71" s="63" t="s">
        <v>39</v>
      </c>
      <c r="E71" s="60">
        <v>2</v>
      </c>
      <c r="F71" s="61">
        <v>800</v>
      </c>
      <c r="G71" s="61">
        <v>1600</v>
      </c>
    </row>
    <row r="72" spans="1:8" x14ac:dyDescent="0.25">
      <c r="A72" s="60">
        <v>8</v>
      </c>
      <c r="B72" s="60" t="s">
        <v>35</v>
      </c>
      <c r="C72" s="60" t="s">
        <v>7</v>
      </c>
      <c r="D72" s="60">
        <v>200</v>
      </c>
      <c r="E72" s="60">
        <v>4</v>
      </c>
      <c r="F72" s="61">
        <v>365</v>
      </c>
      <c r="G72" s="61">
        <v>1460</v>
      </c>
    </row>
    <row r="73" spans="1:8" x14ac:dyDescent="0.25">
      <c r="A73" s="60">
        <v>9</v>
      </c>
      <c r="B73" s="60" t="s">
        <v>35</v>
      </c>
      <c r="C73" s="60" t="s">
        <v>7</v>
      </c>
      <c r="D73" s="60">
        <v>90</v>
      </c>
      <c r="E73" s="60">
        <v>4</v>
      </c>
      <c r="F73" s="61">
        <v>170</v>
      </c>
      <c r="G73" s="61">
        <v>680</v>
      </c>
    </row>
    <row r="74" spans="1:8" s="58" customFormat="1" x14ac:dyDescent="0.25">
      <c r="A74" s="59"/>
      <c r="B74" s="59" t="s">
        <v>41</v>
      </c>
      <c r="C74" s="59"/>
      <c r="D74" s="59"/>
      <c r="E74" s="59">
        <v>45</v>
      </c>
      <c r="F74" s="59"/>
      <c r="G74" s="62">
        <v>13980</v>
      </c>
    </row>
    <row r="76" spans="1:8" s="58" customFormat="1" x14ac:dyDescent="0.25">
      <c r="A76" s="59" t="s">
        <v>19</v>
      </c>
      <c r="B76" s="59" t="s">
        <v>18</v>
      </c>
      <c r="C76" s="59" t="s">
        <v>52</v>
      </c>
      <c r="D76" s="59" t="s">
        <v>0</v>
      </c>
      <c r="E76" s="59" t="s">
        <v>1</v>
      </c>
      <c r="F76" s="59" t="s">
        <v>2</v>
      </c>
      <c r="G76" s="59" t="s">
        <v>3</v>
      </c>
    </row>
    <row r="77" spans="1:8" x14ac:dyDescent="0.25">
      <c r="A77" s="60">
        <v>1</v>
      </c>
      <c r="B77" s="60" t="s">
        <v>29</v>
      </c>
      <c r="C77" s="60" t="s">
        <v>4</v>
      </c>
      <c r="D77" s="60">
        <v>200</v>
      </c>
      <c r="E77" s="60">
        <v>5</v>
      </c>
      <c r="F77" s="61">
        <v>365</v>
      </c>
      <c r="G77" s="61">
        <v>1825</v>
      </c>
      <c r="H77" t="s">
        <v>80</v>
      </c>
    </row>
    <row r="78" spans="1:8" x14ac:dyDescent="0.25">
      <c r="A78" s="60">
        <v>2</v>
      </c>
      <c r="B78" s="60" t="s">
        <v>29</v>
      </c>
      <c r="C78" s="60" t="s">
        <v>4</v>
      </c>
      <c r="D78" s="60">
        <v>170</v>
      </c>
      <c r="E78" s="60">
        <v>8</v>
      </c>
      <c r="F78" s="61">
        <v>320</v>
      </c>
      <c r="G78" s="61">
        <v>2560</v>
      </c>
    </row>
    <row r="79" spans="1:8" x14ac:dyDescent="0.25">
      <c r="A79" s="60">
        <v>3</v>
      </c>
      <c r="B79" s="60" t="s">
        <v>29</v>
      </c>
      <c r="C79" s="60" t="s">
        <v>4</v>
      </c>
      <c r="D79" s="60">
        <v>130</v>
      </c>
      <c r="E79" s="60">
        <v>2</v>
      </c>
      <c r="F79" s="61">
        <v>245</v>
      </c>
      <c r="G79" s="61">
        <v>490</v>
      </c>
    </row>
    <row r="80" spans="1:8" x14ac:dyDescent="0.25">
      <c r="A80" s="60">
        <v>4</v>
      </c>
      <c r="B80" s="60" t="s">
        <v>29</v>
      </c>
      <c r="C80" s="60" t="s">
        <v>4</v>
      </c>
      <c r="D80" s="60">
        <v>100</v>
      </c>
      <c r="E80" s="60">
        <v>1</v>
      </c>
      <c r="F80" s="61">
        <v>190</v>
      </c>
      <c r="G80" s="61">
        <v>190</v>
      </c>
    </row>
    <row r="81" spans="1:8" x14ac:dyDescent="0.25">
      <c r="A81" s="60">
        <v>5</v>
      </c>
      <c r="B81" s="60" t="s">
        <v>29</v>
      </c>
      <c r="C81" s="60" t="s">
        <v>4</v>
      </c>
      <c r="D81" s="60">
        <v>90</v>
      </c>
      <c r="E81" s="60">
        <v>13</v>
      </c>
      <c r="F81" s="61">
        <v>170</v>
      </c>
      <c r="G81" s="61">
        <v>2210</v>
      </c>
    </row>
    <row r="82" spans="1:8" x14ac:dyDescent="0.25">
      <c r="A82" s="60">
        <v>6</v>
      </c>
      <c r="B82" s="60" t="s">
        <v>29</v>
      </c>
      <c r="C82" s="60" t="s">
        <v>4</v>
      </c>
      <c r="D82" s="60">
        <v>300</v>
      </c>
      <c r="E82" s="60">
        <v>2</v>
      </c>
      <c r="F82" s="61">
        <v>570</v>
      </c>
      <c r="G82" s="61">
        <v>1140</v>
      </c>
    </row>
    <row r="83" spans="1:8" x14ac:dyDescent="0.25">
      <c r="A83" s="60">
        <v>7</v>
      </c>
      <c r="B83" s="60" t="s">
        <v>29</v>
      </c>
      <c r="C83" s="60" t="s">
        <v>4</v>
      </c>
      <c r="D83" s="60">
        <v>240</v>
      </c>
      <c r="E83" s="60">
        <v>2</v>
      </c>
      <c r="F83" s="61">
        <v>445</v>
      </c>
      <c r="G83" s="61">
        <v>890</v>
      </c>
    </row>
    <row r="84" spans="1:8" x14ac:dyDescent="0.25">
      <c r="A84" s="60">
        <v>8</v>
      </c>
      <c r="B84" s="60" t="s">
        <v>29</v>
      </c>
      <c r="C84" s="60" t="s">
        <v>4</v>
      </c>
      <c r="D84" s="63" t="s">
        <v>42</v>
      </c>
      <c r="E84" s="60">
        <v>1</v>
      </c>
      <c r="F84" s="61">
        <v>1000</v>
      </c>
      <c r="G84" s="61">
        <v>1000</v>
      </c>
    </row>
    <row r="85" spans="1:8" s="58" customFormat="1" x14ac:dyDescent="0.25">
      <c r="A85" s="59"/>
      <c r="B85" s="59" t="s">
        <v>41</v>
      </c>
      <c r="C85" s="59"/>
      <c r="D85" s="59"/>
      <c r="E85" s="59">
        <v>34</v>
      </c>
      <c r="F85" s="59"/>
      <c r="G85" s="62">
        <v>10305</v>
      </c>
    </row>
    <row r="87" spans="1:8" s="58" customFormat="1" x14ac:dyDescent="0.25">
      <c r="A87" s="59" t="s">
        <v>19</v>
      </c>
      <c r="B87" s="59" t="s">
        <v>18</v>
      </c>
      <c r="C87" s="59" t="s">
        <v>52</v>
      </c>
      <c r="D87" s="59" t="s">
        <v>0</v>
      </c>
      <c r="E87" s="59" t="s">
        <v>1</v>
      </c>
      <c r="F87" s="59" t="s">
        <v>2</v>
      </c>
      <c r="G87" s="59" t="s">
        <v>3</v>
      </c>
    </row>
    <row r="88" spans="1:8" x14ac:dyDescent="0.25">
      <c r="A88" s="60">
        <v>1</v>
      </c>
      <c r="B88" s="60" t="s">
        <v>9</v>
      </c>
      <c r="C88" s="60" t="s">
        <v>4</v>
      </c>
      <c r="D88" s="60">
        <v>170</v>
      </c>
      <c r="E88" s="60">
        <v>4</v>
      </c>
      <c r="F88" s="61">
        <v>320</v>
      </c>
      <c r="G88" s="61">
        <v>1280</v>
      </c>
      <c r="H88" t="s">
        <v>80</v>
      </c>
    </row>
    <row r="89" spans="1:8" x14ac:dyDescent="0.25">
      <c r="A89" s="60">
        <v>2</v>
      </c>
      <c r="B89" s="60" t="s">
        <v>9</v>
      </c>
      <c r="C89" s="60" t="s">
        <v>4</v>
      </c>
      <c r="D89" s="60">
        <v>130</v>
      </c>
      <c r="E89" s="60">
        <v>2</v>
      </c>
      <c r="F89" s="61">
        <v>245</v>
      </c>
      <c r="G89" s="61">
        <v>490</v>
      </c>
    </row>
    <row r="90" spans="1:8" x14ac:dyDescent="0.25">
      <c r="A90" s="60">
        <v>3</v>
      </c>
      <c r="B90" s="60" t="s">
        <v>9</v>
      </c>
      <c r="C90" s="60" t="s">
        <v>4</v>
      </c>
      <c r="D90" s="60">
        <v>90</v>
      </c>
      <c r="E90" s="60">
        <v>7</v>
      </c>
      <c r="F90" s="61">
        <v>170</v>
      </c>
      <c r="G90" s="61">
        <v>1190</v>
      </c>
    </row>
    <row r="91" spans="1:8" x14ac:dyDescent="0.25">
      <c r="A91" s="60">
        <v>4</v>
      </c>
      <c r="B91" s="60" t="s">
        <v>9</v>
      </c>
      <c r="C91" s="60" t="s">
        <v>7</v>
      </c>
      <c r="D91" s="60">
        <v>200</v>
      </c>
      <c r="E91" s="60">
        <v>3</v>
      </c>
      <c r="F91" s="61">
        <v>365</v>
      </c>
      <c r="G91" s="61">
        <v>1095</v>
      </c>
    </row>
    <row r="92" spans="1:8" s="58" customFormat="1" x14ac:dyDescent="0.25">
      <c r="A92" s="59"/>
      <c r="B92" s="59" t="s">
        <v>41</v>
      </c>
      <c r="C92" s="59"/>
      <c r="D92" s="59"/>
      <c r="E92" s="59">
        <v>16</v>
      </c>
      <c r="F92" s="59"/>
      <c r="G92" s="62">
        <v>4055</v>
      </c>
    </row>
    <row r="93" spans="1:8" s="58" customFormat="1" x14ac:dyDescent="0.25">
      <c r="A93" s="64"/>
      <c r="B93" s="64"/>
      <c r="C93" s="64"/>
      <c r="D93" s="64"/>
      <c r="E93" s="64"/>
      <c r="F93" s="64"/>
      <c r="G93" s="65"/>
    </row>
    <row r="95" spans="1:8" s="58" customFormat="1" x14ac:dyDescent="0.25">
      <c r="A95" s="59" t="s">
        <v>19</v>
      </c>
      <c r="B95" s="59" t="s">
        <v>18</v>
      </c>
      <c r="C95" s="59" t="s">
        <v>52</v>
      </c>
      <c r="D95" s="59" t="s">
        <v>0</v>
      </c>
      <c r="E95" s="59" t="s">
        <v>1</v>
      </c>
      <c r="F95" s="59" t="s">
        <v>2</v>
      </c>
      <c r="G95" s="59" t="s">
        <v>3</v>
      </c>
    </row>
    <row r="96" spans="1:8" x14ac:dyDescent="0.25">
      <c r="A96" s="60">
        <v>1</v>
      </c>
      <c r="B96" s="60" t="s">
        <v>5</v>
      </c>
      <c r="C96" s="60" t="s">
        <v>4</v>
      </c>
      <c r="D96" s="60">
        <v>200</v>
      </c>
      <c r="E96" s="60">
        <v>1</v>
      </c>
      <c r="F96" s="61">
        <v>365</v>
      </c>
      <c r="G96" s="61">
        <v>365</v>
      </c>
      <c r="H96" t="s">
        <v>80</v>
      </c>
    </row>
    <row r="97" spans="1:7" x14ac:dyDescent="0.25">
      <c r="A97" s="60">
        <v>2</v>
      </c>
      <c r="B97" s="60" t="s">
        <v>5</v>
      </c>
      <c r="C97" s="60" t="s">
        <v>4</v>
      </c>
      <c r="D97" s="60">
        <v>170</v>
      </c>
      <c r="E97" s="60">
        <v>5</v>
      </c>
      <c r="F97" s="61">
        <v>320</v>
      </c>
      <c r="G97" s="61">
        <v>1600</v>
      </c>
    </row>
    <row r="98" spans="1:7" x14ac:dyDescent="0.25">
      <c r="A98" s="60">
        <v>3</v>
      </c>
      <c r="B98" s="60" t="s">
        <v>5</v>
      </c>
      <c r="C98" s="60" t="s">
        <v>4</v>
      </c>
      <c r="D98" s="60">
        <v>130</v>
      </c>
      <c r="E98" s="60">
        <v>5</v>
      </c>
      <c r="F98" s="61">
        <v>245</v>
      </c>
      <c r="G98" s="61">
        <v>1225</v>
      </c>
    </row>
    <row r="99" spans="1:7" x14ac:dyDescent="0.25">
      <c r="A99" s="60">
        <v>4</v>
      </c>
      <c r="B99" s="60" t="s">
        <v>5</v>
      </c>
      <c r="C99" s="60" t="s">
        <v>4</v>
      </c>
      <c r="D99" s="60">
        <v>80</v>
      </c>
      <c r="E99" s="60">
        <v>1</v>
      </c>
      <c r="F99" s="61">
        <v>150</v>
      </c>
      <c r="G99" s="61">
        <v>150</v>
      </c>
    </row>
    <row r="100" spans="1:7" x14ac:dyDescent="0.25">
      <c r="A100" s="60">
        <v>5</v>
      </c>
      <c r="B100" s="60" t="s">
        <v>5</v>
      </c>
      <c r="C100" s="60" t="s">
        <v>4</v>
      </c>
      <c r="D100" s="63" t="s">
        <v>42</v>
      </c>
      <c r="E100" s="60">
        <v>1</v>
      </c>
      <c r="F100" s="61">
        <v>1000</v>
      </c>
      <c r="G100" s="61">
        <v>1000</v>
      </c>
    </row>
    <row r="101" spans="1:7" x14ac:dyDescent="0.25">
      <c r="A101" s="60">
        <v>6</v>
      </c>
      <c r="B101" s="60" t="s">
        <v>5</v>
      </c>
      <c r="C101" s="60" t="s">
        <v>7</v>
      </c>
      <c r="D101" s="60">
        <v>200</v>
      </c>
      <c r="E101" s="60">
        <v>3</v>
      </c>
      <c r="F101" s="61">
        <v>365</v>
      </c>
      <c r="G101" s="61">
        <v>1095</v>
      </c>
    </row>
    <row r="102" spans="1:7" x14ac:dyDescent="0.25">
      <c r="A102" s="60">
        <v>7</v>
      </c>
      <c r="B102" s="60" t="s">
        <v>5</v>
      </c>
      <c r="C102" s="60" t="s">
        <v>7</v>
      </c>
      <c r="D102" s="60">
        <v>160</v>
      </c>
      <c r="E102" s="60">
        <v>4</v>
      </c>
      <c r="F102" s="61">
        <v>300</v>
      </c>
      <c r="G102" s="61">
        <v>1200</v>
      </c>
    </row>
    <row r="103" spans="1:7" s="58" customFormat="1" x14ac:dyDescent="0.25">
      <c r="A103" s="59"/>
      <c r="B103" s="59" t="s">
        <v>41</v>
      </c>
      <c r="C103" s="59"/>
      <c r="D103" s="59"/>
      <c r="E103" s="59">
        <v>20</v>
      </c>
      <c r="F103" s="59"/>
      <c r="G103" s="62">
        <v>6635</v>
      </c>
    </row>
    <row r="105" spans="1:7" s="58" customFormat="1" x14ac:dyDescent="0.25">
      <c r="A105" s="59" t="s">
        <v>19</v>
      </c>
      <c r="B105" s="59" t="s">
        <v>18</v>
      </c>
      <c r="C105" s="59" t="s">
        <v>52</v>
      </c>
      <c r="D105" s="59" t="s">
        <v>0</v>
      </c>
      <c r="E105" s="59" t="s">
        <v>1</v>
      </c>
      <c r="F105" s="59" t="s">
        <v>2</v>
      </c>
      <c r="G105" s="59" t="s">
        <v>3</v>
      </c>
    </row>
    <row r="106" spans="1:7" x14ac:dyDescent="0.25">
      <c r="A106" s="60">
        <v>1</v>
      </c>
      <c r="B106" s="60" t="s">
        <v>79</v>
      </c>
      <c r="C106" s="60" t="s">
        <v>4</v>
      </c>
      <c r="D106" s="60">
        <v>170</v>
      </c>
      <c r="E106" s="60">
        <v>1</v>
      </c>
      <c r="F106" s="61">
        <v>320</v>
      </c>
      <c r="G106" s="61">
        <v>320</v>
      </c>
    </row>
    <row r="107" spans="1:7" x14ac:dyDescent="0.25">
      <c r="A107" s="60">
        <v>2</v>
      </c>
      <c r="B107" s="60" t="s">
        <v>79</v>
      </c>
      <c r="C107" s="60" t="s">
        <v>4</v>
      </c>
      <c r="D107" s="60">
        <v>90</v>
      </c>
      <c r="E107" s="60">
        <v>1</v>
      </c>
      <c r="F107" s="61">
        <v>170</v>
      </c>
      <c r="G107" s="61">
        <v>170</v>
      </c>
    </row>
    <row r="108" spans="1:7" s="58" customFormat="1" x14ac:dyDescent="0.25">
      <c r="A108" s="59"/>
      <c r="B108" s="59" t="s">
        <v>41</v>
      </c>
      <c r="C108" s="59"/>
      <c r="D108" s="59"/>
      <c r="E108" s="59">
        <v>2</v>
      </c>
      <c r="F108" s="59"/>
      <c r="G108" s="62">
        <v>490</v>
      </c>
    </row>
    <row r="110" spans="1:7" s="58" customFormat="1" x14ac:dyDescent="0.25">
      <c r="A110" s="59" t="s">
        <v>19</v>
      </c>
      <c r="B110" s="59" t="s">
        <v>18</v>
      </c>
      <c r="C110" s="59" t="s">
        <v>52</v>
      </c>
      <c r="D110" s="59" t="s">
        <v>0</v>
      </c>
      <c r="E110" s="59" t="s">
        <v>1</v>
      </c>
      <c r="F110" s="59" t="s">
        <v>2</v>
      </c>
      <c r="G110" s="59" t="s">
        <v>3</v>
      </c>
    </row>
    <row r="111" spans="1:7" x14ac:dyDescent="0.25">
      <c r="A111" s="60">
        <v>1</v>
      </c>
      <c r="B111" s="60" t="s">
        <v>54</v>
      </c>
      <c r="C111" s="60" t="s">
        <v>4</v>
      </c>
      <c r="D111" s="63" t="s">
        <v>55</v>
      </c>
      <c r="E111" s="60">
        <v>1</v>
      </c>
      <c r="F111" s="61">
        <v>600</v>
      </c>
      <c r="G111" s="61">
        <v>600</v>
      </c>
    </row>
    <row r="112" spans="1:7" x14ac:dyDescent="0.25">
      <c r="A112" s="60">
        <v>2</v>
      </c>
      <c r="B112" s="60" t="s">
        <v>54</v>
      </c>
      <c r="C112" s="60" t="s">
        <v>4</v>
      </c>
      <c r="D112" s="60">
        <v>90</v>
      </c>
      <c r="E112" s="60">
        <v>1</v>
      </c>
      <c r="F112" s="61">
        <v>170</v>
      </c>
      <c r="G112" s="61">
        <v>170</v>
      </c>
    </row>
    <row r="113" spans="1:8" x14ac:dyDescent="0.25">
      <c r="A113" s="60">
        <v>3</v>
      </c>
      <c r="B113" s="60" t="s">
        <v>54</v>
      </c>
      <c r="C113" s="60" t="s">
        <v>4</v>
      </c>
      <c r="D113" s="60">
        <v>90</v>
      </c>
      <c r="E113" s="60">
        <v>1</v>
      </c>
      <c r="F113" s="61">
        <v>170</v>
      </c>
      <c r="G113" s="61">
        <v>170</v>
      </c>
    </row>
    <row r="114" spans="1:8" x14ac:dyDescent="0.25">
      <c r="A114" s="60">
        <v>4</v>
      </c>
      <c r="B114" s="60" t="s">
        <v>54</v>
      </c>
      <c r="C114" s="60" t="s">
        <v>7</v>
      </c>
      <c r="D114" s="60">
        <v>160</v>
      </c>
      <c r="E114" s="60">
        <v>1</v>
      </c>
      <c r="F114" s="61">
        <v>300</v>
      </c>
      <c r="G114" s="61">
        <v>300</v>
      </c>
    </row>
    <row r="115" spans="1:8" x14ac:dyDescent="0.25">
      <c r="A115" s="60">
        <v>5</v>
      </c>
      <c r="B115" s="60" t="s">
        <v>54</v>
      </c>
      <c r="C115" s="60" t="s">
        <v>7</v>
      </c>
      <c r="D115" s="60">
        <v>130</v>
      </c>
      <c r="E115" s="60">
        <v>1</v>
      </c>
      <c r="F115" s="61">
        <v>245</v>
      </c>
      <c r="G115" s="61">
        <v>245</v>
      </c>
    </row>
    <row r="116" spans="1:8" x14ac:dyDescent="0.25">
      <c r="A116" s="60">
        <v>6</v>
      </c>
      <c r="B116" s="60" t="s">
        <v>54</v>
      </c>
      <c r="C116" s="60" t="s">
        <v>7</v>
      </c>
      <c r="D116" s="60">
        <v>90</v>
      </c>
      <c r="E116" s="60">
        <v>7</v>
      </c>
      <c r="F116" s="61">
        <v>170</v>
      </c>
      <c r="G116" s="61">
        <v>1190</v>
      </c>
    </row>
    <row r="117" spans="1:8" s="58" customFormat="1" x14ac:dyDescent="0.25">
      <c r="A117" s="59"/>
      <c r="B117" s="59" t="s">
        <v>41</v>
      </c>
      <c r="C117" s="59"/>
      <c r="D117" s="59"/>
      <c r="E117" s="59">
        <v>12</v>
      </c>
      <c r="F117" s="59"/>
      <c r="G117" s="62">
        <v>2675</v>
      </c>
    </row>
    <row r="119" spans="1:8" s="58" customFormat="1" x14ac:dyDescent="0.25">
      <c r="A119" s="59" t="s">
        <v>19</v>
      </c>
      <c r="B119" s="59" t="s">
        <v>18</v>
      </c>
      <c r="C119" s="59" t="s">
        <v>52</v>
      </c>
      <c r="D119" s="59" t="s">
        <v>0</v>
      </c>
      <c r="E119" s="59" t="s">
        <v>1</v>
      </c>
      <c r="F119" s="59" t="s">
        <v>2</v>
      </c>
      <c r="G119" s="59" t="s">
        <v>3</v>
      </c>
    </row>
    <row r="120" spans="1:8" x14ac:dyDescent="0.25">
      <c r="A120" s="60">
        <v>1</v>
      </c>
      <c r="B120" s="60" t="s">
        <v>49</v>
      </c>
      <c r="C120" s="60" t="s">
        <v>7</v>
      </c>
      <c r="D120" s="60">
        <v>160</v>
      </c>
      <c r="E120" s="60">
        <v>1</v>
      </c>
      <c r="F120" s="61">
        <v>300</v>
      </c>
      <c r="G120" s="61">
        <v>300</v>
      </c>
    </row>
    <row r="121" spans="1:8" x14ac:dyDescent="0.25">
      <c r="A121" s="60">
        <v>2</v>
      </c>
      <c r="B121" s="60" t="s">
        <v>49</v>
      </c>
      <c r="C121" s="60" t="s">
        <v>7</v>
      </c>
      <c r="D121" s="60">
        <v>130</v>
      </c>
      <c r="E121" s="60">
        <v>1</v>
      </c>
      <c r="F121" s="61">
        <v>245</v>
      </c>
      <c r="G121" s="61">
        <v>245</v>
      </c>
    </row>
    <row r="122" spans="1:8" s="58" customFormat="1" x14ac:dyDescent="0.25">
      <c r="A122" s="59"/>
      <c r="B122" s="59" t="s">
        <v>41</v>
      </c>
      <c r="C122" s="59"/>
      <c r="D122" s="59"/>
      <c r="E122" s="59">
        <v>2</v>
      </c>
      <c r="F122" s="59"/>
      <c r="G122" s="62">
        <v>545</v>
      </c>
    </row>
    <row r="124" spans="1:8" s="58" customFormat="1" x14ac:dyDescent="0.25">
      <c r="A124" s="59" t="s">
        <v>19</v>
      </c>
      <c r="B124" s="59" t="s">
        <v>18</v>
      </c>
      <c r="C124" s="59" t="s">
        <v>52</v>
      </c>
      <c r="D124" s="59" t="s">
        <v>0</v>
      </c>
      <c r="E124" s="59" t="s">
        <v>1</v>
      </c>
      <c r="F124" s="59" t="s">
        <v>2</v>
      </c>
      <c r="G124" s="59" t="s">
        <v>3</v>
      </c>
    </row>
    <row r="125" spans="1:8" x14ac:dyDescent="0.25">
      <c r="A125" s="60">
        <v>1</v>
      </c>
      <c r="B125" s="60" t="s">
        <v>32</v>
      </c>
      <c r="C125" s="60" t="s">
        <v>4</v>
      </c>
      <c r="D125" s="60">
        <v>200</v>
      </c>
      <c r="E125" s="60">
        <v>1</v>
      </c>
      <c r="F125" s="61">
        <v>365</v>
      </c>
      <c r="G125" s="61">
        <v>365</v>
      </c>
      <c r="H125" t="s">
        <v>80</v>
      </c>
    </row>
    <row r="126" spans="1:8" x14ac:dyDescent="0.25">
      <c r="A126" s="60">
        <v>2</v>
      </c>
      <c r="B126" s="60" t="s">
        <v>32</v>
      </c>
      <c r="C126" s="60" t="s">
        <v>4</v>
      </c>
      <c r="D126" s="60">
        <v>300</v>
      </c>
      <c r="E126" s="60">
        <v>1</v>
      </c>
      <c r="F126" s="61">
        <v>570</v>
      </c>
      <c r="G126" s="61">
        <v>570</v>
      </c>
    </row>
    <row r="127" spans="1:8" x14ac:dyDescent="0.25">
      <c r="A127" s="60">
        <v>3</v>
      </c>
      <c r="B127" s="60" t="s">
        <v>32</v>
      </c>
      <c r="C127" s="60" t="s">
        <v>4</v>
      </c>
      <c r="D127" s="60">
        <v>170</v>
      </c>
      <c r="E127" s="60">
        <v>2</v>
      </c>
      <c r="F127" s="61">
        <v>320</v>
      </c>
      <c r="G127" s="61">
        <v>640</v>
      </c>
    </row>
    <row r="128" spans="1:8" x14ac:dyDescent="0.25">
      <c r="A128" s="60">
        <v>4</v>
      </c>
      <c r="B128" s="60" t="s">
        <v>32</v>
      </c>
      <c r="C128" s="60" t="s">
        <v>4</v>
      </c>
      <c r="D128" s="60">
        <v>130</v>
      </c>
      <c r="E128" s="60">
        <v>7</v>
      </c>
      <c r="F128" s="61">
        <v>245</v>
      </c>
      <c r="G128" s="61">
        <v>1715</v>
      </c>
    </row>
    <row r="129" spans="1:8" x14ac:dyDescent="0.25">
      <c r="A129" s="60">
        <v>5</v>
      </c>
      <c r="B129" s="60" t="s">
        <v>32</v>
      </c>
      <c r="C129" s="60" t="s">
        <v>4</v>
      </c>
      <c r="D129" s="60">
        <v>90</v>
      </c>
      <c r="E129" s="60">
        <v>2</v>
      </c>
      <c r="F129" s="61">
        <v>170</v>
      </c>
      <c r="G129" s="61">
        <v>340</v>
      </c>
    </row>
    <row r="130" spans="1:8" s="58" customFormat="1" x14ac:dyDescent="0.25">
      <c r="A130" s="59"/>
      <c r="B130" s="59" t="s">
        <v>41</v>
      </c>
      <c r="C130" s="59"/>
      <c r="D130" s="59"/>
      <c r="E130" s="59">
        <v>13</v>
      </c>
      <c r="F130" s="59"/>
      <c r="G130" s="62">
        <v>3630</v>
      </c>
    </row>
    <row r="132" spans="1:8" s="58" customFormat="1" x14ac:dyDescent="0.25">
      <c r="A132" s="59" t="s">
        <v>19</v>
      </c>
      <c r="B132" s="59" t="s">
        <v>18</v>
      </c>
      <c r="C132" s="59" t="s">
        <v>52</v>
      </c>
      <c r="D132" s="59" t="s">
        <v>0</v>
      </c>
      <c r="E132" s="59" t="s">
        <v>1</v>
      </c>
      <c r="F132" s="59" t="s">
        <v>2</v>
      </c>
      <c r="G132" s="59" t="s">
        <v>3</v>
      </c>
    </row>
    <row r="133" spans="1:8" x14ac:dyDescent="0.25">
      <c r="A133" s="60">
        <v>1</v>
      </c>
      <c r="B133" s="60" t="s">
        <v>72</v>
      </c>
      <c r="C133" s="60" t="s">
        <v>4</v>
      </c>
      <c r="D133" s="60">
        <v>200</v>
      </c>
      <c r="E133" s="60">
        <v>1</v>
      </c>
      <c r="F133" s="61">
        <v>365</v>
      </c>
      <c r="G133" s="61">
        <v>365</v>
      </c>
      <c r="H133" t="s">
        <v>80</v>
      </c>
    </row>
    <row r="134" spans="1:8" x14ac:dyDescent="0.25">
      <c r="A134" s="60">
        <v>2</v>
      </c>
      <c r="B134" s="60" t="s">
        <v>72</v>
      </c>
      <c r="C134" s="60" t="s">
        <v>4</v>
      </c>
      <c r="D134" s="60">
        <v>170</v>
      </c>
      <c r="E134" s="60">
        <v>6</v>
      </c>
      <c r="F134" s="61">
        <v>320</v>
      </c>
      <c r="G134" s="61">
        <v>1920</v>
      </c>
    </row>
    <row r="135" spans="1:8" x14ac:dyDescent="0.25">
      <c r="A135" s="60">
        <v>3</v>
      </c>
      <c r="B135" s="60" t="s">
        <v>72</v>
      </c>
      <c r="C135" s="60" t="s">
        <v>4</v>
      </c>
      <c r="D135" s="60">
        <v>130</v>
      </c>
      <c r="E135" s="60">
        <v>1</v>
      </c>
      <c r="F135" s="61">
        <v>245</v>
      </c>
      <c r="G135" s="61">
        <v>245</v>
      </c>
    </row>
    <row r="136" spans="1:8" x14ac:dyDescent="0.25">
      <c r="A136" s="60">
        <v>4</v>
      </c>
      <c r="B136" s="60" t="s">
        <v>72</v>
      </c>
      <c r="C136" s="60" t="s">
        <v>7</v>
      </c>
      <c r="D136" s="60">
        <v>90</v>
      </c>
      <c r="E136" s="60">
        <v>3</v>
      </c>
      <c r="F136" s="61">
        <v>170</v>
      </c>
      <c r="G136" s="61">
        <v>510</v>
      </c>
    </row>
    <row r="137" spans="1:8" s="58" customFormat="1" x14ac:dyDescent="0.25">
      <c r="A137" s="59"/>
      <c r="B137" s="59" t="s">
        <v>41</v>
      </c>
      <c r="C137" s="59"/>
      <c r="D137" s="59"/>
      <c r="E137" s="59">
        <v>11</v>
      </c>
      <c r="F137" s="59"/>
      <c r="G137" s="62">
        <v>3040</v>
      </c>
    </row>
    <row r="139" spans="1:8" s="58" customFormat="1" x14ac:dyDescent="0.25">
      <c r="A139" s="59" t="s">
        <v>19</v>
      </c>
      <c r="B139" s="59" t="s">
        <v>18</v>
      </c>
      <c r="C139" s="59" t="s">
        <v>52</v>
      </c>
      <c r="D139" s="59" t="s">
        <v>0</v>
      </c>
      <c r="E139" s="59" t="s">
        <v>1</v>
      </c>
      <c r="F139" s="59" t="s">
        <v>2</v>
      </c>
      <c r="G139" s="59" t="s">
        <v>3</v>
      </c>
    </row>
    <row r="140" spans="1:8" x14ac:dyDescent="0.25">
      <c r="A140" s="60">
        <v>1</v>
      </c>
      <c r="B140" s="60" t="s">
        <v>28</v>
      </c>
      <c r="C140" s="60" t="s">
        <v>4</v>
      </c>
      <c r="D140" s="60">
        <v>250</v>
      </c>
      <c r="E140" s="60">
        <v>1</v>
      </c>
      <c r="F140" s="61">
        <v>475</v>
      </c>
      <c r="G140" s="61">
        <v>475</v>
      </c>
    </row>
    <row r="141" spans="1:8" x14ac:dyDescent="0.25">
      <c r="A141" s="60">
        <v>2</v>
      </c>
      <c r="B141" s="60" t="s">
        <v>28</v>
      </c>
      <c r="C141" s="60" t="s">
        <v>4</v>
      </c>
      <c r="D141" s="60">
        <v>240</v>
      </c>
      <c r="E141" s="60">
        <v>1</v>
      </c>
      <c r="F141" s="61">
        <v>445</v>
      </c>
      <c r="G141" s="61">
        <v>445</v>
      </c>
    </row>
    <row r="142" spans="1:8" x14ac:dyDescent="0.25">
      <c r="A142" s="60">
        <v>3</v>
      </c>
      <c r="B142" s="60" t="s">
        <v>28</v>
      </c>
      <c r="C142" s="60" t="s">
        <v>4</v>
      </c>
      <c r="D142" s="60">
        <v>300</v>
      </c>
      <c r="E142" s="60">
        <v>4</v>
      </c>
      <c r="F142" s="61">
        <v>570</v>
      </c>
      <c r="G142" s="61">
        <v>2280</v>
      </c>
    </row>
    <row r="143" spans="1:8" x14ac:dyDescent="0.25">
      <c r="A143" s="60">
        <v>4</v>
      </c>
      <c r="B143" s="60" t="s">
        <v>28</v>
      </c>
      <c r="C143" s="60" t="s">
        <v>4</v>
      </c>
      <c r="D143" s="60">
        <v>200</v>
      </c>
      <c r="E143" s="60">
        <v>2</v>
      </c>
      <c r="F143" s="61">
        <v>365</v>
      </c>
      <c r="G143" s="61">
        <v>730</v>
      </c>
    </row>
    <row r="144" spans="1:8" x14ac:dyDescent="0.25">
      <c r="A144" s="60">
        <v>5</v>
      </c>
      <c r="B144" s="60" t="s">
        <v>28</v>
      </c>
      <c r="C144" s="60" t="s">
        <v>4</v>
      </c>
      <c r="D144" s="60">
        <v>170</v>
      </c>
      <c r="E144" s="60">
        <v>7</v>
      </c>
      <c r="F144" s="61">
        <v>320</v>
      </c>
      <c r="G144" s="61">
        <v>2240</v>
      </c>
    </row>
    <row r="145" spans="1:8" x14ac:dyDescent="0.25">
      <c r="A145" s="60">
        <v>6</v>
      </c>
      <c r="B145" s="60" t="s">
        <v>28</v>
      </c>
      <c r="C145" s="60" t="s">
        <v>4</v>
      </c>
      <c r="D145" s="60">
        <v>130</v>
      </c>
      <c r="E145" s="60">
        <v>2</v>
      </c>
      <c r="F145" s="61">
        <v>245</v>
      </c>
      <c r="G145" s="61">
        <v>490</v>
      </c>
    </row>
    <row r="146" spans="1:8" x14ac:dyDescent="0.25">
      <c r="A146" s="60">
        <v>7</v>
      </c>
      <c r="B146" s="60" t="s">
        <v>28</v>
      </c>
      <c r="C146" s="60" t="s">
        <v>7</v>
      </c>
      <c r="D146" s="60">
        <v>160</v>
      </c>
      <c r="E146" s="60">
        <v>1</v>
      </c>
      <c r="F146" s="61">
        <v>300</v>
      </c>
      <c r="G146" s="61">
        <v>300</v>
      </c>
    </row>
    <row r="147" spans="1:8" s="58" customFormat="1" x14ac:dyDescent="0.25">
      <c r="A147" s="59"/>
      <c r="B147" s="59" t="s">
        <v>41</v>
      </c>
      <c r="C147" s="59"/>
      <c r="D147" s="59"/>
      <c r="E147" s="59">
        <v>18</v>
      </c>
      <c r="F147" s="59"/>
      <c r="G147" s="62">
        <v>6960</v>
      </c>
    </row>
    <row r="149" spans="1:8" s="58" customFormat="1" x14ac:dyDescent="0.25">
      <c r="A149" s="59" t="s">
        <v>19</v>
      </c>
      <c r="B149" s="59" t="s">
        <v>18</v>
      </c>
      <c r="C149" s="59" t="s">
        <v>52</v>
      </c>
      <c r="D149" s="59" t="s">
        <v>0</v>
      </c>
      <c r="E149" s="59" t="s">
        <v>1</v>
      </c>
      <c r="F149" s="59" t="s">
        <v>2</v>
      </c>
      <c r="G149" s="59" t="s">
        <v>3</v>
      </c>
    </row>
    <row r="150" spans="1:8" x14ac:dyDescent="0.25">
      <c r="A150" s="60">
        <v>1</v>
      </c>
      <c r="B150" s="60" t="s">
        <v>68</v>
      </c>
      <c r="C150" s="60" t="s">
        <v>4</v>
      </c>
      <c r="D150" s="60">
        <v>200</v>
      </c>
      <c r="E150" s="60">
        <v>1</v>
      </c>
      <c r="F150" s="61">
        <v>365</v>
      </c>
      <c r="G150" s="61">
        <v>365</v>
      </c>
      <c r="H150" t="s">
        <v>80</v>
      </c>
    </row>
    <row r="151" spans="1:8" x14ac:dyDescent="0.25">
      <c r="A151" s="60">
        <v>2</v>
      </c>
      <c r="B151" s="60" t="s">
        <v>68</v>
      </c>
      <c r="C151" s="60" t="s">
        <v>4</v>
      </c>
      <c r="D151" s="60">
        <v>170</v>
      </c>
      <c r="E151" s="60">
        <v>1</v>
      </c>
      <c r="F151" s="61">
        <v>320</v>
      </c>
      <c r="G151" s="61">
        <v>320</v>
      </c>
    </row>
    <row r="152" spans="1:8" x14ac:dyDescent="0.25">
      <c r="A152" s="60">
        <v>3</v>
      </c>
      <c r="B152" s="60" t="s">
        <v>68</v>
      </c>
      <c r="C152" s="60" t="s">
        <v>4</v>
      </c>
      <c r="D152" s="60">
        <v>130</v>
      </c>
      <c r="E152" s="60">
        <v>4</v>
      </c>
      <c r="F152" s="61">
        <v>245</v>
      </c>
      <c r="G152" s="61">
        <v>980</v>
      </c>
    </row>
    <row r="153" spans="1:8" x14ac:dyDescent="0.25">
      <c r="A153" s="60">
        <v>4</v>
      </c>
      <c r="B153" s="60" t="s">
        <v>68</v>
      </c>
      <c r="C153" s="60" t="s">
        <v>7</v>
      </c>
      <c r="D153" s="60">
        <v>200</v>
      </c>
      <c r="E153" s="60">
        <v>1</v>
      </c>
      <c r="F153" s="61">
        <v>365</v>
      </c>
      <c r="G153" s="61">
        <v>365</v>
      </c>
    </row>
    <row r="154" spans="1:8" x14ac:dyDescent="0.25">
      <c r="A154" s="60">
        <v>5</v>
      </c>
      <c r="B154" s="60" t="s">
        <v>68</v>
      </c>
      <c r="C154" s="60" t="s">
        <v>7</v>
      </c>
      <c r="D154" s="60">
        <v>130</v>
      </c>
      <c r="E154" s="60">
        <v>1</v>
      </c>
      <c r="F154" s="61">
        <v>245</v>
      </c>
      <c r="G154" s="61">
        <v>245</v>
      </c>
    </row>
    <row r="155" spans="1:8" x14ac:dyDescent="0.25">
      <c r="A155" s="60">
        <v>6</v>
      </c>
      <c r="B155" s="60" t="s">
        <v>68</v>
      </c>
      <c r="C155" s="60" t="s">
        <v>7</v>
      </c>
      <c r="D155" s="60">
        <v>90</v>
      </c>
      <c r="E155" s="60">
        <v>1</v>
      </c>
      <c r="F155" s="61">
        <v>170</v>
      </c>
      <c r="G155" s="61">
        <v>170</v>
      </c>
    </row>
    <row r="156" spans="1:8" s="58" customFormat="1" x14ac:dyDescent="0.25">
      <c r="A156" s="59"/>
      <c r="B156" s="59" t="s">
        <v>41</v>
      </c>
      <c r="C156" s="59"/>
      <c r="D156" s="59"/>
      <c r="E156" s="59">
        <v>9</v>
      </c>
      <c r="F156" s="59"/>
      <c r="G156" s="62">
        <v>2445</v>
      </c>
    </row>
    <row r="158" spans="1:8" s="58" customFormat="1" x14ac:dyDescent="0.25">
      <c r="A158" s="59" t="s">
        <v>19</v>
      </c>
      <c r="B158" s="59" t="s">
        <v>18</v>
      </c>
      <c r="C158" s="59" t="s">
        <v>52</v>
      </c>
      <c r="D158" s="59" t="s">
        <v>0</v>
      </c>
      <c r="E158" s="59" t="s">
        <v>1</v>
      </c>
      <c r="F158" s="59" t="s">
        <v>2</v>
      </c>
      <c r="G158" s="59" t="s">
        <v>3</v>
      </c>
    </row>
    <row r="159" spans="1:8" x14ac:dyDescent="0.25">
      <c r="A159" s="60">
        <v>1</v>
      </c>
      <c r="B159" s="60" t="s">
        <v>14</v>
      </c>
      <c r="C159" s="60" t="s">
        <v>7</v>
      </c>
      <c r="D159" s="60">
        <v>160</v>
      </c>
      <c r="E159" s="60">
        <v>2</v>
      </c>
      <c r="F159" s="61">
        <v>300</v>
      </c>
      <c r="G159" s="61">
        <v>600</v>
      </c>
      <c r="H159" t="s">
        <v>80</v>
      </c>
    </row>
    <row r="160" spans="1:8" x14ac:dyDescent="0.25">
      <c r="A160" s="60">
        <v>2</v>
      </c>
      <c r="B160" s="60" t="s">
        <v>14</v>
      </c>
      <c r="C160" s="60" t="s">
        <v>7</v>
      </c>
      <c r="D160" s="60">
        <v>130</v>
      </c>
      <c r="E160" s="60">
        <v>6</v>
      </c>
      <c r="F160" s="61">
        <v>245</v>
      </c>
      <c r="G160" s="61">
        <v>1470</v>
      </c>
    </row>
    <row r="161" spans="1:7" x14ac:dyDescent="0.25">
      <c r="A161" s="60">
        <v>3</v>
      </c>
      <c r="B161" s="60" t="s">
        <v>14</v>
      </c>
      <c r="C161" s="60" t="s">
        <v>7</v>
      </c>
      <c r="D161" s="60">
        <v>90</v>
      </c>
      <c r="E161" s="60">
        <v>1</v>
      </c>
      <c r="F161" s="61">
        <v>170</v>
      </c>
      <c r="G161" s="61">
        <v>170</v>
      </c>
    </row>
    <row r="162" spans="1:7" s="58" customFormat="1" x14ac:dyDescent="0.25">
      <c r="A162" s="59"/>
      <c r="B162" s="59" t="s">
        <v>41</v>
      </c>
      <c r="C162" s="59"/>
      <c r="D162" s="59"/>
      <c r="E162" s="59">
        <v>9</v>
      </c>
      <c r="F162" s="59"/>
      <c r="G162" s="62">
        <v>2240</v>
      </c>
    </row>
  </sheetData>
  <pageMargins left="0.7" right="0.7" top="0.75" bottom="0.75" header="0.3" footer="0.3"/>
  <pageSetup paperSize="9" scale="30" fitToWidth="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7</vt:i4>
      </vt:variant>
      <vt:variant>
        <vt:lpstr>Adlandırılmış Aralıklar</vt:lpstr>
      </vt:variant>
      <vt:variant>
        <vt:i4>18</vt:i4>
      </vt:variant>
    </vt:vector>
  </HeadingPairs>
  <TitlesOfParts>
    <vt:vector size="25" baseType="lpstr">
      <vt:lpstr>Listeler</vt:lpstr>
      <vt:lpstr>Sacak</vt:lpstr>
      <vt:lpstr>Etiket</vt:lpstr>
      <vt:lpstr>El Overlogu</vt:lpstr>
      <vt:lpstr>Küçük Etiket</vt:lpstr>
      <vt:lpstr>Kartela</vt:lpstr>
      <vt:lpstr>Sacak_çıktı</vt:lpstr>
      <vt:lpstr>'El Overlogu'!İsimler</vt:lpstr>
      <vt:lpstr>Kartela!İsimler</vt:lpstr>
      <vt:lpstr>'Küçük Etiket'!İsimler</vt:lpstr>
      <vt:lpstr>İsimler</vt:lpstr>
      <vt:lpstr>'El Overlogu'!Tablo1</vt:lpstr>
      <vt:lpstr>Kartela!Tablo1</vt:lpstr>
      <vt:lpstr>'Küçük Etiket'!Tablo1</vt:lpstr>
      <vt:lpstr>Tablo1</vt:lpstr>
      <vt:lpstr>'El Overlogu'!Yazdırma_Alanı</vt:lpstr>
      <vt:lpstr>Etiket!Yazdırma_Alanı</vt:lpstr>
      <vt:lpstr>Kartela!Yazdırma_Alanı</vt:lpstr>
      <vt:lpstr>'Küçük Etiket'!Yazdırma_Alanı</vt:lpstr>
      <vt:lpstr>Sacak!Yazdırma_Alanı</vt:lpstr>
      <vt:lpstr>'El Overlogu'!Yazdırma_Başlıkları</vt:lpstr>
      <vt:lpstr>Etiket!Yazdırma_Başlıkları</vt:lpstr>
      <vt:lpstr>Kartela!Yazdırma_Başlıkları</vt:lpstr>
      <vt:lpstr>'Küçük Etiket'!Yazdırma_Başlıkları</vt:lpstr>
      <vt:lpstr>Sacak!Yazdırma_Başlıkları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Eko Hali</cp:lastModifiedBy>
  <cp:lastPrinted>2026-03-10T12:28:06Z</cp:lastPrinted>
  <dcterms:created xsi:type="dcterms:W3CDTF">2015-06-05T18:19:34Z</dcterms:created>
  <dcterms:modified xsi:type="dcterms:W3CDTF">2026-03-10T13:19:57Z</dcterms:modified>
</cp:coreProperties>
</file>